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queryTables/queryTable13.xml" ContentType="application/vnd.openxmlformats-officedocument.spreadsheetml.queryTable+xml"/>
  <Override PartName="/xl/tables/table17.xml" ContentType="application/vnd.openxmlformats-officedocument.spreadsheetml.table+xml"/>
  <Override PartName="/xl/queryTables/queryTable14.xml" ContentType="application/vnd.openxmlformats-officedocument.spreadsheetml.queryTable+xml"/>
  <Override PartName="/xl/tables/table18.xml" ContentType="application/vnd.openxmlformats-officedocument.spreadsheetml.table+xml"/>
  <Override PartName="/xl/queryTables/queryTable15.xml" ContentType="application/vnd.openxmlformats-officedocument.spreadsheetml.queryTable+xml"/>
  <Override PartName="/xl/tables/table19.xml" ContentType="application/vnd.openxmlformats-officedocument.spreadsheetml.table+xml"/>
  <Override PartName="/xl/queryTables/queryTable16.xml" ContentType="application/vnd.openxmlformats-officedocument.spreadsheetml.queryTable+xml"/>
  <Override PartName="/xl/tables/table20.xml" ContentType="application/vnd.openxmlformats-officedocument.spreadsheetml.table+xml"/>
  <Override PartName="/xl/queryTables/queryTable17.xml" ContentType="application/vnd.openxmlformats-officedocument.spreadsheetml.queryTable+xml"/>
  <Override PartName="/xl/tables/table21.xml" ContentType="application/vnd.openxmlformats-officedocument.spreadsheetml.table+xml"/>
  <Override PartName="/xl/queryTables/queryTable18.xml" ContentType="application/vnd.openxmlformats-officedocument.spreadsheetml.queryTable+xml"/>
  <Override PartName="/xl/tables/table22.xml" ContentType="application/vnd.openxmlformats-officedocument.spreadsheetml.table+xml"/>
  <Override PartName="/xl/queryTables/queryTable19.xml" ContentType="application/vnd.openxmlformats-officedocument.spreadsheetml.queryTable+xml"/>
  <Override PartName="/xl/tables/table23.xml" ContentType="application/vnd.openxmlformats-officedocument.spreadsheetml.table+xml"/>
  <Override PartName="/xl/queryTables/queryTable20.xml" ContentType="application/vnd.openxmlformats-officedocument.spreadsheetml.queryTable+xml"/>
  <Override PartName="/xl/tables/table24.xml" ContentType="application/vnd.openxmlformats-officedocument.spreadsheetml.table+xml"/>
  <Override PartName="/xl/queryTables/queryTable21.xml" ContentType="application/vnd.openxmlformats-officedocument.spreadsheetml.queryTable+xml"/>
  <Override PartName="/xl/tables/table25.xml" ContentType="application/vnd.openxmlformats-officedocument.spreadsheetml.table+xml"/>
  <Override PartName="/xl/queryTables/queryTable22.xml" ContentType="application/vnd.openxmlformats-officedocument.spreadsheetml.queryTable+xml"/>
  <Override PartName="/xl/tables/table26.xml" ContentType="application/vnd.openxmlformats-officedocument.spreadsheetml.table+xml"/>
  <Override PartName="/xl/queryTables/queryTable23.xml" ContentType="application/vnd.openxmlformats-officedocument.spreadsheetml.queryTable+xml"/>
  <Override PartName="/xl/tables/table27.xml" ContentType="application/vnd.openxmlformats-officedocument.spreadsheetml.table+xml"/>
  <Override PartName="/xl/queryTables/queryTable24.xml" ContentType="application/vnd.openxmlformats-officedocument.spreadsheetml.queryTable+xml"/>
  <Override PartName="/xl/tables/table28.xml" ContentType="application/vnd.openxmlformats-officedocument.spreadsheetml.table+xml"/>
  <Override PartName="/xl/queryTables/queryTable25.xml" ContentType="application/vnd.openxmlformats-officedocument.spreadsheetml.queryTable+xml"/>
  <Override PartName="/xl/tables/table29.xml" ContentType="application/vnd.openxmlformats-officedocument.spreadsheetml.table+xml"/>
  <Override PartName="/xl/queryTables/queryTable26.xml" ContentType="application/vnd.openxmlformats-officedocument.spreadsheetml.queryTable+xml"/>
  <Override PartName="/xl/tables/table30.xml" ContentType="application/vnd.openxmlformats-officedocument.spreadsheetml.table+xml"/>
  <Override PartName="/xl/queryTables/queryTable27.xml" ContentType="application/vnd.openxmlformats-officedocument.spreadsheetml.queryTable+xml"/>
  <Override PartName="/xl/tables/table31.xml" ContentType="application/vnd.openxmlformats-officedocument.spreadsheetml.table+xml"/>
  <Override PartName="/xl/queryTables/queryTable2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9b9cc6268ac1b8bc/Documenten/"/>
    </mc:Choice>
  </mc:AlternateContent>
  <xr:revisionPtr revIDLastSave="0" documentId="8_{09A98BB1-C702-4CF4-AB9A-FC2DCD97829B}" xr6:coauthVersionLast="47" xr6:coauthVersionMax="47" xr10:uidLastSave="{00000000-0000-0000-0000-000000000000}"/>
  <bookViews>
    <workbookView xWindow="-108" yWindow="-108" windowWidth="23256" windowHeight="12456" xr2:uid="{E8E9F19B-A98D-484F-BC74-C80CD3A2FAA5}"/>
  </bookViews>
  <sheets>
    <sheet name="Space technology manufacturers" sheetId="2" r:id="rId1"/>
    <sheet name="Ownership" sheetId="3" r:id="rId2"/>
    <sheet name="M&amp;A" sheetId="4" r:id="rId3"/>
    <sheet name="Tenders" sheetId="24" r:id="rId4"/>
    <sheet name="Copernicus" sheetId="19" r:id="rId5"/>
    <sheet name="Sentinel 1" sheetId="18" r:id="rId6"/>
    <sheet name="Sentinel 2" sheetId="20" r:id="rId7"/>
    <sheet name="Sentinel 3" sheetId="21" r:id="rId8"/>
    <sheet name="Sentinel 4" sheetId="23" r:id="rId9"/>
    <sheet name="Sentinel 5" sheetId="22" r:id="rId10"/>
    <sheet name="2014" sheetId="7" r:id="rId11"/>
    <sheet name="2015" sheetId="16" r:id="rId12"/>
    <sheet name="2016" sheetId="9" r:id="rId13"/>
    <sheet name="2017" sheetId="10" r:id="rId14"/>
    <sheet name="2018" sheetId="11" r:id="rId15"/>
    <sheet name="2019" sheetId="12" r:id="rId16"/>
    <sheet name="2020" sheetId="13" r:id="rId17"/>
    <sheet name="2021" sheetId="14" r:id="rId18"/>
    <sheet name="2022" sheetId="15" r:id="rId19"/>
  </sheets>
  <definedNames>
    <definedName name="_xlnm._FilterDatabase" localSheetId="0" hidden="1">'Space technology manufacturers'!$A$1:$AG$76</definedName>
    <definedName name="ExternalData_1" localSheetId="10" hidden="1">'2014'!$A$1:$D$7</definedName>
    <definedName name="ExternalData_1" localSheetId="5" hidden="1">'Sentinel 1'!$A$1:$B$36</definedName>
    <definedName name="ExternalData_1" localSheetId="3" hidden="1">Tenders!$A$1:$Q$986</definedName>
    <definedName name="ExternalData_10" localSheetId="16" hidden="1">'2020'!$A$87:$D$133</definedName>
    <definedName name="ExternalData_11" localSheetId="16" hidden="1">'2020'!$A$134:$D$155</definedName>
    <definedName name="ExternalData_12" localSheetId="17" hidden="1">'2021'!$A$1:$D$78</definedName>
    <definedName name="ExternalData_13" localSheetId="17" hidden="1">'2021'!$A$79:$D$159</definedName>
    <definedName name="ExternalData_14" localSheetId="17" hidden="1">'2021'!$A$160:$D$202</definedName>
    <definedName name="ExternalData_15" localSheetId="17" hidden="1">'2021'!$A$203:$D$224</definedName>
    <definedName name="ExternalData_16" localSheetId="18" hidden="1">'2022'!$A$1:$D$84</definedName>
    <definedName name="ExternalData_17" localSheetId="18" hidden="1">'2022'!$A$85:$D$170</definedName>
    <definedName name="ExternalData_18" localSheetId="18" hidden="1">'2022'!$A$171:$D$256</definedName>
    <definedName name="ExternalData_19" localSheetId="18" hidden="1">'2022'!$A$257:$D$334</definedName>
    <definedName name="ExternalData_2" localSheetId="12" hidden="1">'2016'!$A$1:$D$116</definedName>
    <definedName name="ExternalData_2" localSheetId="13" hidden="1">'2017'!$A$1:$D$87</definedName>
    <definedName name="ExternalData_2" localSheetId="5" hidden="1">'Sentinel 1'!$A$37:$B$82</definedName>
    <definedName name="ExternalData_3" localSheetId="14" hidden="1">'2018'!$A$1:$D$33</definedName>
    <definedName name="ExternalData_3" localSheetId="6" hidden="1">'Sentinel 2'!$A$1:$B$39</definedName>
    <definedName name="ExternalData_4" localSheetId="14" hidden="1">'2018'!$A$34:$D$67</definedName>
    <definedName name="ExternalData_4" localSheetId="7" hidden="1">'Sentinel 3'!$A$1:$B$26</definedName>
    <definedName name="ExternalData_5" localSheetId="14" hidden="1">'2018'!$A$68:$D$82</definedName>
    <definedName name="ExternalData_5" localSheetId="7" hidden="1">'Sentinel 3'!$A$27:$B$50</definedName>
    <definedName name="ExternalData_6" localSheetId="15" hidden="1">'2019'!$A$1:$D$44</definedName>
    <definedName name="ExternalData_6" localSheetId="7" hidden="1">'Sentinel 3'!$A$51:$B$104</definedName>
    <definedName name="ExternalData_7" localSheetId="15" hidden="1">'2019'!$A$45:$D$95</definedName>
    <definedName name="ExternalData_7" localSheetId="7" hidden="1">'Sentinel 3'!$A$105:$B$138</definedName>
    <definedName name="ExternalData_8" localSheetId="16" hidden="1">'2020'!$A$1:$D$40</definedName>
    <definedName name="ExternalData_9" localSheetId="16" hidden="1">'2020'!$A$41:$D$86</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2  Page 2   3_94fc6ef2-946d-43b4-8aa5-474fcf95f839" name="Table002  Page 2   3" connection="Query - Table002 (Page 2) (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4" i="2" l="1"/>
  <c r="C82" i="2"/>
  <c r="T3" i="2"/>
  <c r="J3" i="2"/>
  <c r="H3" i="2"/>
  <c r="Q76" i="2"/>
  <c r="P76" i="2"/>
  <c r="J70" i="2"/>
  <c r="K70" i="2"/>
  <c r="L70" i="2"/>
  <c r="M70" i="2"/>
  <c r="N70" i="2"/>
  <c r="O70" i="2"/>
  <c r="P70" i="2"/>
  <c r="Q70" i="2"/>
  <c r="R70" i="2"/>
  <c r="AB70" i="2" s="1"/>
  <c r="S70" i="2"/>
  <c r="AC70" i="2" s="1"/>
  <c r="J71" i="2"/>
  <c r="K71" i="2"/>
  <c r="U71" i="2" s="1"/>
  <c r="L71" i="2"/>
  <c r="M71" i="2"/>
  <c r="N71" i="2"/>
  <c r="O71" i="2"/>
  <c r="P71" i="2"/>
  <c r="Q71" i="2"/>
  <c r="R71" i="2"/>
  <c r="S71" i="2"/>
  <c r="AC71" i="2" s="1"/>
  <c r="J72" i="2"/>
  <c r="T72" i="2" s="1"/>
  <c r="K72" i="2"/>
  <c r="L72" i="2"/>
  <c r="V72" i="2" s="1"/>
  <c r="M72" i="2"/>
  <c r="W72" i="2" s="1"/>
  <c r="N72" i="2"/>
  <c r="O72" i="2"/>
  <c r="P72" i="2"/>
  <c r="Q72" i="2"/>
  <c r="R72" i="2"/>
  <c r="S72" i="2"/>
  <c r="J73" i="2"/>
  <c r="K73" i="2"/>
  <c r="L73" i="2"/>
  <c r="M73" i="2"/>
  <c r="N73" i="2"/>
  <c r="O73" i="2"/>
  <c r="P73" i="2"/>
  <c r="Q73" i="2"/>
  <c r="R73" i="2"/>
  <c r="S73" i="2"/>
  <c r="J74" i="2"/>
  <c r="K74" i="2"/>
  <c r="L74" i="2"/>
  <c r="M74" i="2"/>
  <c r="W74" i="2" s="1"/>
  <c r="N74" i="2"/>
  <c r="X74" i="2" s="1"/>
  <c r="O74" i="2"/>
  <c r="P74" i="2"/>
  <c r="Z74" i="2" s="1"/>
  <c r="Q74" i="2"/>
  <c r="R74" i="2"/>
  <c r="S74" i="2"/>
  <c r="K69" i="2"/>
  <c r="L69" i="2"/>
  <c r="M69" i="2"/>
  <c r="N69" i="2"/>
  <c r="O69" i="2"/>
  <c r="P69" i="2"/>
  <c r="Q69" i="2"/>
  <c r="R69" i="2"/>
  <c r="S69" i="2"/>
  <c r="J69" i="2"/>
  <c r="S68" i="2"/>
  <c r="Q68" i="2"/>
  <c r="AA68" i="2" s="1"/>
  <c r="O68" i="2"/>
  <c r="M68" i="2"/>
  <c r="K68" i="2"/>
  <c r="J67" i="2"/>
  <c r="K67" i="2"/>
  <c r="J65" i="2"/>
  <c r="K65" i="2"/>
  <c r="L65" i="2"/>
  <c r="M65" i="2"/>
  <c r="N65" i="2"/>
  <c r="O65" i="2"/>
  <c r="P65" i="2"/>
  <c r="Q65" i="2"/>
  <c r="R65" i="2"/>
  <c r="AB65" i="2" s="1"/>
  <c r="S65" i="2"/>
  <c r="AC65" i="2" s="1"/>
  <c r="K64" i="2"/>
  <c r="L64" i="2"/>
  <c r="M64" i="2"/>
  <c r="N64" i="2"/>
  <c r="O64" i="2"/>
  <c r="P64" i="2"/>
  <c r="Q64" i="2"/>
  <c r="R64" i="2"/>
  <c r="S64" i="2"/>
  <c r="J64" i="2"/>
  <c r="S63" i="2"/>
  <c r="R63" i="2"/>
  <c r="Q63" i="2"/>
  <c r="P63" i="2"/>
  <c r="O63" i="2"/>
  <c r="Y63" i="2" s="1"/>
  <c r="N63" i="2"/>
  <c r="M63" i="2"/>
  <c r="L63" i="2"/>
  <c r="V63" i="2" s="1"/>
  <c r="K63" i="2"/>
  <c r="J63" i="2"/>
  <c r="J52" i="2"/>
  <c r="K52" i="2"/>
  <c r="L52" i="2"/>
  <c r="M52" i="2"/>
  <c r="N52" i="2"/>
  <c r="O52" i="2"/>
  <c r="P52" i="2"/>
  <c r="Q52" i="2"/>
  <c r="AA52" i="2" s="1"/>
  <c r="R52" i="2"/>
  <c r="AB52" i="2" s="1"/>
  <c r="S52" i="2"/>
  <c r="AC52" i="2" s="1"/>
  <c r="J53" i="2"/>
  <c r="T53" i="2" s="1"/>
  <c r="K53" i="2"/>
  <c r="U53" i="2" s="1"/>
  <c r="L53" i="2"/>
  <c r="M53" i="2"/>
  <c r="N53" i="2"/>
  <c r="O53" i="2"/>
  <c r="P53" i="2"/>
  <c r="Q53" i="2"/>
  <c r="R53" i="2"/>
  <c r="AB53" i="2" s="1"/>
  <c r="S53" i="2"/>
  <c r="J54" i="2"/>
  <c r="T54" i="2" s="1"/>
  <c r="K54" i="2"/>
  <c r="U54" i="2" s="1"/>
  <c r="L54" i="2"/>
  <c r="V54" i="2" s="1"/>
  <c r="M54" i="2"/>
  <c r="W54" i="2" s="1"/>
  <c r="N54" i="2"/>
  <c r="O54" i="2"/>
  <c r="P54" i="2"/>
  <c r="Q54" i="2"/>
  <c r="R54" i="2"/>
  <c r="S54" i="2"/>
  <c r="J55" i="2"/>
  <c r="K55" i="2"/>
  <c r="L55" i="2"/>
  <c r="V55" i="2" s="1"/>
  <c r="M55" i="2"/>
  <c r="N55" i="2"/>
  <c r="O55" i="2"/>
  <c r="Y55" i="2" s="1"/>
  <c r="P55" i="2"/>
  <c r="Q55" i="2"/>
  <c r="R55" i="2"/>
  <c r="S55" i="2"/>
  <c r="J56" i="2"/>
  <c r="K56" i="2"/>
  <c r="L56" i="2"/>
  <c r="V56" i="2" s="1"/>
  <c r="M56" i="2"/>
  <c r="W56" i="2" s="1"/>
  <c r="N56" i="2"/>
  <c r="X56" i="2" s="1"/>
  <c r="O56" i="2"/>
  <c r="Y56" i="2" s="1"/>
  <c r="P56" i="2"/>
  <c r="Z56" i="2" s="1"/>
  <c r="Q56" i="2"/>
  <c r="AA56" i="2" s="1"/>
  <c r="R56" i="2"/>
  <c r="S56" i="2"/>
  <c r="J57" i="2"/>
  <c r="K57" i="2"/>
  <c r="L57" i="2"/>
  <c r="M57" i="2"/>
  <c r="N57" i="2"/>
  <c r="O57" i="2"/>
  <c r="P57" i="2"/>
  <c r="Z57" i="2" s="1"/>
  <c r="Q57" i="2"/>
  <c r="R57" i="2"/>
  <c r="S57" i="2"/>
  <c r="U55" i="2"/>
  <c r="W55" i="2"/>
  <c r="X55" i="2"/>
  <c r="Y57" i="2"/>
  <c r="AA57" i="2"/>
  <c r="AB57" i="2"/>
  <c r="AC57" i="2"/>
  <c r="K51" i="2"/>
  <c r="L51" i="2"/>
  <c r="M51" i="2"/>
  <c r="N51" i="2"/>
  <c r="O51" i="2"/>
  <c r="P51" i="2"/>
  <c r="Q51" i="2"/>
  <c r="R51" i="2"/>
  <c r="S51" i="2"/>
  <c r="AC51" i="2" s="1"/>
  <c r="J51" i="2"/>
  <c r="V51" i="2"/>
  <c r="Z51" i="2"/>
  <c r="W51" i="2"/>
  <c r="S50" i="2"/>
  <c r="R50" i="2"/>
  <c r="Q50" i="2"/>
  <c r="AA50" i="2" s="1"/>
  <c r="P50" i="2"/>
  <c r="O50" i="2"/>
  <c r="N50" i="2"/>
  <c r="M50" i="2"/>
  <c r="L50" i="2"/>
  <c r="K50" i="2"/>
  <c r="J50" i="2"/>
  <c r="L46" i="2"/>
  <c r="M46" i="2"/>
  <c r="N46" i="2"/>
  <c r="X46" i="2" s="1"/>
  <c r="O46" i="2"/>
  <c r="P46" i="2"/>
  <c r="Q46" i="2"/>
  <c r="R46" i="2"/>
  <c r="S46" i="2"/>
  <c r="K46" i="2"/>
  <c r="S45" i="2"/>
  <c r="Q45" i="2"/>
  <c r="O45" i="2"/>
  <c r="M45" i="2"/>
  <c r="K45" i="2"/>
  <c r="J41" i="2"/>
  <c r="S40" i="2"/>
  <c r="R40" i="2"/>
  <c r="Q40" i="2"/>
  <c r="P40" i="2"/>
  <c r="O40" i="2"/>
  <c r="Y40" i="2" s="1"/>
  <c r="N40" i="2"/>
  <c r="M40" i="2"/>
  <c r="L40" i="2"/>
  <c r="K40" i="2"/>
  <c r="J40" i="2"/>
  <c r="S28" i="2"/>
  <c r="R28" i="2"/>
  <c r="Q28" i="2"/>
  <c r="P28" i="2"/>
  <c r="O28" i="2"/>
  <c r="N28" i="2"/>
  <c r="X28" i="2" s="1"/>
  <c r="M28" i="2"/>
  <c r="L28" i="2"/>
  <c r="V28" i="2" s="1"/>
  <c r="K28" i="2"/>
  <c r="U28" i="2" s="1"/>
  <c r="J28" i="2"/>
  <c r="T28" i="2" s="1"/>
  <c r="D77" i="2"/>
  <c r="C77" i="2"/>
  <c r="B80" i="2" s="1"/>
  <c r="AB35" i="2"/>
  <c r="AB66" i="2"/>
  <c r="AB68" i="2"/>
  <c r="AB67" i="2"/>
  <c r="V16" i="2"/>
  <c r="X16" i="2"/>
  <c r="Z16" i="2"/>
  <c r="AB16" i="2"/>
  <c r="U17" i="2"/>
  <c r="X17" i="2"/>
  <c r="Y17" i="2"/>
  <c r="Z17" i="2"/>
  <c r="AA17" i="2"/>
  <c r="AB17" i="2"/>
  <c r="AC17" i="2"/>
  <c r="U18" i="2"/>
  <c r="V18" i="2"/>
  <c r="W18" i="2"/>
  <c r="X18" i="2"/>
  <c r="Y18" i="2"/>
  <c r="Z18" i="2"/>
  <c r="AA18" i="2"/>
  <c r="AB18" i="2"/>
  <c r="AC18" i="2"/>
  <c r="U19" i="2"/>
  <c r="V19" i="2"/>
  <c r="W19" i="2"/>
  <c r="X19" i="2"/>
  <c r="Y19" i="2"/>
  <c r="Z19" i="2"/>
  <c r="AB19" i="2"/>
  <c r="AC19" i="2"/>
  <c r="V20" i="2"/>
  <c r="V24" i="2"/>
  <c r="X24" i="2"/>
  <c r="Z24" i="2"/>
  <c r="AA24" i="2"/>
  <c r="AB24" i="2"/>
  <c r="U25" i="2"/>
  <c r="V25" i="2"/>
  <c r="W25" i="2"/>
  <c r="X25" i="2"/>
  <c r="Y25" i="2"/>
  <c r="Z25" i="2"/>
  <c r="AA25" i="2"/>
  <c r="AB25" i="2"/>
  <c r="AC25" i="2"/>
  <c r="U26" i="2"/>
  <c r="V26" i="2"/>
  <c r="W26" i="2"/>
  <c r="X26" i="2"/>
  <c r="Y26" i="2"/>
  <c r="Z26" i="2"/>
  <c r="AA26" i="2"/>
  <c r="AB26" i="2"/>
  <c r="AC26" i="2"/>
  <c r="U27" i="2"/>
  <c r="V27" i="2"/>
  <c r="W27" i="2"/>
  <c r="X27" i="2"/>
  <c r="Y27" i="2"/>
  <c r="Z27" i="2"/>
  <c r="AA27" i="2"/>
  <c r="AB27" i="2"/>
  <c r="AC27" i="2"/>
  <c r="W28" i="2"/>
  <c r="Y28" i="2"/>
  <c r="Z28" i="2"/>
  <c r="AA28" i="2"/>
  <c r="AB28" i="2"/>
  <c r="AC28" i="2"/>
  <c r="U29" i="2"/>
  <c r="V29" i="2"/>
  <c r="W29" i="2"/>
  <c r="X29" i="2"/>
  <c r="Y29" i="2"/>
  <c r="Z29" i="2"/>
  <c r="AA29" i="2"/>
  <c r="AB29" i="2"/>
  <c r="AC29" i="2"/>
  <c r="U30" i="2"/>
  <c r="V30" i="2"/>
  <c r="W30" i="2"/>
  <c r="X30" i="2"/>
  <c r="Y30" i="2"/>
  <c r="Z30" i="2"/>
  <c r="AA30" i="2"/>
  <c r="AB30" i="2"/>
  <c r="AC30" i="2"/>
  <c r="U31" i="2"/>
  <c r="V31" i="2"/>
  <c r="W31" i="2"/>
  <c r="X31" i="2"/>
  <c r="Y31" i="2"/>
  <c r="Z31" i="2"/>
  <c r="AA31" i="2"/>
  <c r="AB31" i="2"/>
  <c r="AC31" i="2"/>
  <c r="U32" i="2"/>
  <c r="V32" i="2"/>
  <c r="W32" i="2"/>
  <c r="X32" i="2"/>
  <c r="Y32" i="2"/>
  <c r="Z32" i="2"/>
  <c r="AA32" i="2"/>
  <c r="AB32" i="2"/>
  <c r="AC32" i="2"/>
  <c r="U33" i="2"/>
  <c r="V33" i="2"/>
  <c r="W33" i="2"/>
  <c r="X33" i="2"/>
  <c r="Y33" i="2"/>
  <c r="Z33" i="2"/>
  <c r="AA33" i="2"/>
  <c r="AB33" i="2"/>
  <c r="AC33" i="2"/>
  <c r="U34" i="2"/>
  <c r="V34" i="2"/>
  <c r="W34" i="2"/>
  <c r="X34" i="2"/>
  <c r="Y34" i="2"/>
  <c r="Z34" i="2"/>
  <c r="AA34" i="2"/>
  <c r="AB34" i="2"/>
  <c r="AC34" i="2"/>
  <c r="U35" i="2"/>
  <c r="V35" i="2"/>
  <c r="W35" i="2"/>
  <c r="X35" i="2"/>
  <c r="Y35" i="2"/>
  <c r="Z35" i="2"/>
  <c r="AA35" i="2"/>
  <c r="AC35" i="2"/>
  <c r="U36" i="2"/>
  <c r="V36" i="2"/>
  <c r="W36" i="2"/>
  <c r="X36" i="2"/>
  <c r="Y36" i="2"/>
  <c r="Z36" i="2"/>
  <c r="AA36" i="2"/>
  <c r="AB36" i="2"/>
  <c r="AC36" i="2"/>
  <c r="U37" i="2"/>
  <c r="V37" i="2"/>
  <c r="W37" i="2"/>
  <c r="X37" i="2"/>
  <c r="Y37" i="2"/>
  <c r="Z37" i="2"/>
  <c r="AA37" i="2"/>
  <c r="AB37" i="2"/>
  <c r="AC37" i="2"/>
  <c r="U38" i="2"/>
  <c r="V38" i="2"/>
  <c r="W38" i="2"/>
  <c r="X38" i="2"/>
  <c r="Y38" i="2"/>
  <c r="Z38" i="2"/>
  <c r="AA38" i="2"/>
  <c r="AB38" i="2"/>
  <c r="AC38" i="2"/>
  <c r="U39" i="2"/>
  <c r="V39" i="2"/>
  <c r="W39" i="2"/>
  <c r="X39" i="2"/>
  <c r="Y39" i="2"/>
  <c r="Z39" i="2"/>
  <c r="AA39" i="2"/>
  <c r="AB39" i="2"/>
  <c r="AC39" i="2"/>
  <c r="U40" i="2"/>
  <c r="V40" i="2"/>
  <c r="W40" i="2"/>
  <c r="X40" i="2"/>
  <c r="Z40" i="2"/>
  <c r="AA40" i="2"/>
  <c r="AB40" i="2"/>
  <c r="AC40" i="2"/>
  <c r="U41" i="2"/>
  <c r="V41" i="2"/>
  <c r="W41" i="2"/>
  <c r="X41" i="2"/>
  <c r="Y41" i="2"/>
  <c r="Z41" i="2"/>
  <c r="AA41" i="2"/>
  <c r="AB41" i="2"/>
  <c r="AC41" i="2"/>
  <c r="U42" i="2"/>
  <c r="V42" i="2"/>
  <c r="W42" i="2"/>
  <c r="X42" i="2"/>
  <c r="Y42" i="2"/>
  <c r="Z42" i="2"/>
  <c r="AA42" i="2"/>
  <c r="AB42" i="2"/>
  <c r="AC42" i="2"/>
  <c r="U43" i="2"/>
  <c r="V43" i="2"/>
  <c r="W43" i="2"/>
  <c r="X43" i="2"/>
  <c r="Y43" i="2"/>
  <c r="Z43" i="2"/>
  <c r="AA43" i="2"/>
  <c r="AB43" i="2"/>
  <c r="AC43" i="2"/>
  <c r="U44" i="2"/>
  <c r="V44" i="2"/>
  <c r="W44" i="2"/>
  <c r="X44" i="2"/>
  <c r="Y44" i="2"/>
  <c r="Z44" i="2"/>
  <c r="AA44" i="2"/>
  <c r="AB44" i="2"/>
  <c r="AC44" i="2"/>
  <c r="U45" i="2"/>
  <c r="V45" i="2"/>
  <c r="W45" i="2"/>
  <c r="X45" i="2"/>
  <c r="Y45" i="2"/>
  <c r="Z45" i="2"/>
  <c r="AA45" i="2"/>
  <c r="AB45" i="2"/>
  <c r="AC45" i="2"/>
  <c r="U46" i="2"/>
  <c r="V46" i="2"/>
  <c r="W46" i="2"/>
  <c r="Y46" i="2"/>
  <c r="Z46" i="2"/>
  <c r="AA46" i="2"/>
  <c r="AB46" i="2"/>
  <c r="AC46" i="2"/>
  <c r="U47" i="2"/>
  <c r="V47" i="2"/>
  <c r="W47" i="2"/>
  <c r="X47" i="2"/>
  <c r="Y47" i="2"/>
  <c r="Z47" i="2"/>
  <c r="AA47" i="2"/>
  <c r="AB47" i="2"/>
  <c r="AC47" i="2"/>
  <c r="U48" i="2"/>
  <c r="V48" i="2"/>
  <c r="W48" i="2"/>
  <c r="X48" i="2"/>
  <c r="Y48" i="2"/>
  <c r="Z48" i="2"/>
  <c r="AA48" i="2"/>
  <c r="AB48" i="2"/>
  <c r="AC48" i="2"/>
  <c r="U49" i="2"/>
  <c r="V49" i="2"/>
  <c r="W49" i="2"/>
  <c r="X49" i="2"/>
  <c r="Y49" i="2"/>
  <c r="Z49" i="2"/>
  <c r="AA49" i="2"/>
  <c r="AB49" i="2"/>
  <c r="AC49" i="2"/>
  <c r="U50" i="2"/>
  <c r="V50" i="2"/>
  <c r="W50" i="2"/>
  <c r="X50" i="2"/>
  <c r="Y50" i="2"/>
  <c r="Z50" i="2"/>
  <c r="AB50" i="2"/>
  <c r="AC50" i="2"/>
  <c r="U51" i="2"/>
  <c r="X51" i="2"/>
  <c r="Y51" i="2"/>
  <c r="AA51" i="2"/>
  <c r="AB51" i="2"/>
  <c r="U52" i="2"/>
  <c r="V52" i="2"/>
  <c r="W52" i="2"/>
  <c r="X52" i="2"/>
  <c r="Y52" i="2"/>
  <c r="Z52" i="2"/>
  <c r="V53" i="2"/>
  <c r="W53" i="2"/>
  <c r="X53" i="2"/>
  <c r="Y53" i="2"/>
  <c r="Z53" i="2"/>
  <c r="AA53" i="2"/>
  <c r="AC53" i="2"/>
  <c r="X54" i="2"/>
  <c r="Y54" i="2"/>
  <c r="Z54" i="2"/>
  <c r="AA54" i="2"/>
  <c r="AB54" i="2"/>
  <c r="AC54" i="2"/>
  <c r="Z55" i="2"/>
  <c r="AA55" i="2"/>
  <c r="AB55" i="2"/>
  <c r="AC55" i="2"/>
  <c r="U56" i="2"/>
  <c r="AB56" i="2"/>
  <c r="AC56" i="2"/>
  <c r="U57" i="2"/>
  <c r="V57" i="2"/>
  <c r="W57" i="2"/>
  <c r="X57" i="2"/>
  <c r="U58" i="2"/>
  <c r="V58" i="2"/>
  <c r="W58" i="2"/>
  <c r="X58" i="2"/>
  <c r="Y58" i="2"/>
  <c r="Z58" i="2"/>
  <c r="AA58" i="2"/>
  <c r="AB58" i="2"/>
  <c r="AC58" i="2"/>
  <c r="U59" i="2"/>
  <c r="V59" i="2"/>
  <c r="W59" i="2"/>
  <c r="X59" i="2"/>
  <c r="Y59" i="2"/>
  <c r="Z59" i="2"/>
  <c r="AA59" i="2"/>
  <c r="AB59" i="2"/>
  <c r="AC59" i="2"/>
  <c r="U60" i="2"/>
  <c r="V60" i="2"/>
  <c r="W60" i="2"/>
  <c r="X60" i="2"/>
  <c r="Y60" i="2"/>
  <c r="Z60" i="2"/>
  <c r="AA60" i="2"/>
  <c r="AB60" i="2"/>
  <c r="AC60" i="2"/>
  <c r="U61" i="2"/>
  <c r="V61" i="2"/>
  <c r="W61" i="2"/>
  <c r="X61" i="2"/>
  <c r="Y61" i="2"/>
  <c r="Z61" i="2"/>
  <c r="AA61" i="2"/>
  <c r="AB61" i="2"/>
  <c r="AC61" i="2"/>
  <c r="U62" i="2"/>
  <c r="V62" i="2"/>
  <c r="W62" i="2"/>
  <c r="X62" i="2"/>
  <c r="Y62" i="2"/>
  <c r="Z62" i="2"/>
  <c r="AA62" i="2"/>
  <c r="AB62" i="2"/>
  <c r="AC62" i="2"/>
  <c r="U63" i="2"/>
  <c r="W63" i="2"/>
  <c r="X63" i="2"/>
  <c r="Z63" i="2"/>
  <c r="AA63" i="2"/>
  <c r="AB63" i="2"/>
  <c r="AC63" i="2"/>
  <c r="U64" i="2"/>
  <c r="V64" i="2"/>
  <c r="W64" i="2"/>
  <c r="X64" i="2"/>
  <c r="Y64" i="2"/>
  <c r="Z64" i="2"/>
  <c r="AA64" i="2"/>
  <c r="AB64" i="2"/>
  <c r="AC64" i="2"/>
  <c r="U65" i="2"/>
  <c r="V65" i="2"/>
  <c r="W65" i="2"/>
  <c r="X65" i="2"/>
  <c r="Y65" i="2"/>
  <c r="Z65" i="2"/>
  <c r="AA65" i="2"/>
  <c r="U66" i="2"/>
  <c r="V66" i="2"/>
  <c r="W66" i="2"/>
  <c r="X66" i="2"/>
  <c r="Y66" i="2"/>
  <c r="Z66" i="2"/>
  <c r="AA66" i="2"/>
  <c r="AC66" i="2"/>
  <c r="U67" i="2"/>
  <c r="V67" i="2"/>
  <c r="W67" i="2"/>
  <c r="X67" i="2"/>
  <c r="Y67" i="2"/>
  <c r="Z67" i="2"/>
  <c r="AA67" i="2"/>
  <c r="AC67" i="2"/>
  <c r="U68" i="2"/>
  <c r="V68" i="2"/>
  <c r="W68" i="2"/>
  <c r="X68" i="2"/>
  <c r="Y68" i="2"/>
  <c r="Z68" i="2"/>
  <c r="AC68" i="2"/>
  <c r="U69" i="2"/>
  <c r="V69" i="2"/>
  <c r="W69" i="2"/>
  <c r="X69" i="2"/>
  <c r="Y69" i="2"/>
  <c r="Z69" i="2"/>
  <c r="AA69" i="2"/>
  <c r="AB69" i="2"/>
  <c r="AC69" i="2"/>
  <c r="U70" i="2"/>
  <c r="V70" i="2"/>
  <c r="W70" i="2"/>
  <c r="X70" i="2"/>
  <c r="Y70" i="2"/>
  <c r="Z70" i="2"/>
  <c r="AA70" i="2"/>
  <c r="V71" i="2"/>
  <c r="W71" i="2"/>
  <c r="X71" i="2"/>
  <c r="Y71" i="2"/>
  <c r="Z71" i="2"/>
  <c r="AA71" i="2"/>
  <c r="AB71" i="2"/>
  <c r="U72" i="2"/>
  <c r="X72" i="2"/>
  <c r="Y72" i="2"/>
  <c r="Z72" i="2"/>
  <c r="AA72" i="2"/>
  <c r="AB72" i="2"/>
  <c r="AC72" i="2"/>
  <c r="U73" i="2"/>
  <c r="V73" i="2"/>
  <c r="W73" i="2"/>
  <c r="X73" i="2"/>
  <c r="Y73" i="2"/>
  <c r="Z73" i="2"/>
  <c r="AA73" i="2"/>
  <c r="AB73" i="2"/>
  <c r="AC73" i="2"/>
  <c r="U74" i="2"/>
  <c r="V74" i="2"/>
  <c r="Y74" i="2"/>
  <c r="AA74" i="2"/>
  <c r="AB74" i="2"/>
  <c r="AC74" i="2"/>
  <c r="U75" i="2"/>
  <c r="V75" i="2"/>
  <c r="W75" i="2"/>
  <c r="X75" i="2"/>
  <c r="Y75" i="2"/>
  <c r="Z75" i="2"/>
  <c r="AA75" i="2"/>
  <c r="AB75" i="2"/>
  <c r="AC75" i="2"/>
  <c r="U76" i="2"/>
  <c r="V76" i="2"/>
  <c r="W76" i="2"/>
  <c r="X76" i="2"/>
  <c r="Y76" i="2"/>
  <c r="Z76" i="2"/>
  <c r="AA76" i="2"/>
  <c r="AB76" i="2"/>
  <c r="AC76" i="2"/>
  <c r="T69" i="2"/>
  <c r="T63" i="2"/>
  <c r="T60" i="2"/>
  <c r="T58" i="2"/>
  <c r="T57" i="2"/>
  <c r="T56" i="2"/>
  <c r="T55" i="2"/>
  <c r="T52" i="2"/>
  <c r="T50" i="2"/>
  <c r="T48" i="2"/>
  <c r="T44" i="2"/>
  <c r="T42" i="2"/>
  <c r="T41" i="2"/>
  <c r="T39" i="2"/>
  <c r="T37" i="2"/>
  <c r="T35" i="2"/>
  <c r="T36" i="2"/>
  <c r="T34" i="2"/>
  <c r="T31" i="2"/>
  <c r="T27" i="2"/>
  <c r="T24" i="2"/>
  <c r="T25" i="2"/>
  <c r="T26" i="2"/>
  <c r="T18" i="2"/>
  <c r="T17" i="2"/>
  <c r="T16" i="2"/>
  <c r="T75" i="2"/>
  <c r="T19" i="2"/>
  <c r="T29" i="2"/>
  <c r="T30" i="2"/>
  <c r="T32" i="2"/>
  <c r="T33" i="2"/>
  <c r="T38" i="2"/>
  <c r="T40" i="2"/>
  <c r="T43" i="2"/>
  <c r="T45" i="2"/>
  <c r="T46" i="2"/>
  <c r="T47" i="2"/>
  <c r="T49" i="2"/>
  <c r="T51" i="2"/>
  <c r="T59" i="2"/>
  <c r="T61" i="2"/>
  <c r="T62" i="2"/>
  <c r="T64" i="2"/>
  <c r="T65" i="2"/>
  <c r="T66" i="2"/>
  <c r="T67" i="2"/>
  <c r="T68" i="2"/>
  <c r="T70" i="2"/>
  <c r="T71" i="2"/>
  <c r="T73" i="2"/>
  <c r="T74" i="2"/>
  <c r="T76" i="2"/>
  <c r="AB14" i="2"/>
  <c r="V13" i="2"/>
  <c r="X13" i="2"/>
  <c r="Z13" i="2"/>
  <c r="AB13" i="2"/>
  <c r="T13" i="2"/>
  <c r="V12" i="2"/>
  <c r="X12" i="2"/>
  <c r="Z12" i="2"/>
  <c r="AB12" i="2"/>
  <c r="T12" i="2"/>
  <c r="T10" i="2"/>
  <c r="T11" i="2"/>
  <c r="AC11" i="2"/>
  <c r="U11" i="2"/>
  <c r="V11" i="2"/>
  <c r="W11" i="2"/>
  <c r="X11" i="2"/>
  <c r="Y11" i="2"/>
  <c r="Z11" i="2"/>
  <c r="AA11" i="2"/>
  <c r="AB11" i="2"/>
  <c r="U10" i="2"/>
  <c r="V10" i="2"/>
  <c r="W10" i="2"/>
  <c r="X10" i="2"/>
  <c r="Y10" i="2"/>
  <c r="Z10" i="2"/>
  <c r="AA10" i="2"/>
  <c r="AB10" i="2"/>
  <c r="AC10" i="2"/>
  <c r="V8" i="2"/>
  <c r="W7" i="2"/>
  <c r="Z6" i="2"/>
  <c r="Y6" i="2"/>
  <c r="V4" i="2"/>
  <c r="S24" i="2"/>
  <c r="AC24" i="2" s="1"/>
  <c r="O24" i="2"/>
  <c r="Y24" i="2" s="1"/>
  <c r="M24" i="2"/>
  <c r="W24" i="2" s="1"/>
  <c r="K24" i="2"/>
  <c r="U24" i="2" s="1"/>
  <c r="S21" i="2"/>
  <c r="AC21" i="2" s="1"/>
  <c r="R21" i="2"/>
  <c r="R22" i="2" s="1"/>
  <c r="R23" i="2" s="1"/>
  <c r="AB23" i="2" s="1"/>
  <c r="Q21" i="2"/>
  <c r="Q22" i="2" s="1"/>
  <c r="Q23" i="2" s="1"/>
  <c r="AA23" i="2" s="1"/>
  <c r="P21" i="2"/>
  <c r="P22" i="2" s="1"/>
  <c r="P23" i="2" s="1"/>
  <c r="Z23" i="2" s="1"/>
  <c r="O21" i="2"/>
  <c r="O22" i="2" s="1"/>
  <c r="O23" i="2" s="1"/>
  <c r="Y23" i="2" s="1"/>
  <c r="N21" i="2"/>
  <c r="N22" i="2" s="1"/>
  <c r="N23" i="2" s="1"/>
  <c r="X23" i="2" s="1"/>
  <c r="M21" i="2"/>
  <c r="M22" i="2" s="1"/>
  <c r="M23" i="2" s="1"/>
  <c r="W23" i="2" s="1"/>
  <c r="L21" i="2"/>
  <c r="L22" i="2" s="1"/>
  <c r="L23" i="2" s="1"/>
  <c r="V23" i="2" s="1"/>
  <c r="K21" i="2"/>
  <c r="K22" i="2" s="1"/>
  <c r="K23" i="2" s="1"/>
  <c r="U23" i="2" s="1"/>
  <c r="J21" i="2"/>
  <c r="T21" i="2" s="1"/>
  <c r="S20" i="2"/>
  <c r="AC20" i="2" s="1"/>
  <c r="R20" i="2"/>
  <c r="AB20" i="2" s="1"/>
  <c r="Q20" i="2"/>
  <c r="AA20" i="2" s="1"/>
  <c r="P20" i="2"/>
  <c r="Z20" i="2" s="1"/>
  <c r="O20" i="2"/>
  <c r="Y20" i="2" s="1"/>
  <c r="N20" i="2"/>
  <c r="X20" i="2" s="1"/>
  <c r="M20" i="2"/>
  <c r="W20" i="2" s="1"/>
  <c r="L20" i="2"/>
  <c r="K20" i="2"/>
  <c r="U20" i="2" s="1"/>
  <c r="J20" i="2"/>
  <c r="T20" i="2" s="1"/>
  <c r="Q19" i="2"/>
  <c r="AA19" i="2" s="1"/>
  <c r="M17" i="2"/>
  <c r="W17" i="2" s="1"/>
  <c r="L17" i="2"/>
  <c r="V17" i="2" s="1"/>
  <c r="S16" i="2"/>
  <c r="AC16" i="2" s="1"/>
  <c r="Q16" i="2"/>
  <c r="AA16" i="2" s="1"/>
  <c r="O16" i="2"/>
  <c r="Y16" i="2" s="1"/>
  <c r="M16" i="2"/>
  <c r="W16" i="2" s="1"/>
  <c r="K16" i="2"/>
  <c r="U16" i="2" s="1"/>
  <c r="L14" i="2"/>
  <c r="L15" i="2" s="1"/>
  <c r="V15" i="2" s="1"/>
  <c r="N14" i="2"/>
  <c r="N15" i="2" s="1"/>
  <c r="X15" i="2" s="1"/>
  <c r="P14" i="2"/>
  <c r="Z14" i="2" s="1"/>
  <c r="R14" i="2"/>
  <c r="R15" i="2" s="1"/>
  <c r="AB15" i="2" s="1"/>
  <c r="J14" i="2"/>
  <c r="J15" i="2" s="1"/>
  <c r="T15" i="2" s="1"/>
  <c r="S13" i="2"/>
  <c r="S14" i="2" s="1"/>
  <c r="Q13" i="2"/>
  <c r="Q14" i="2" s="1"/>
  <c r="Q15" i="2" s="1"/>
  <c r="AA15" i="2" s="1"/>
  <c r="O13" i="2"/>
  <c r="Y13" i="2" s="1"/>
  <c r="M13" i="2"/>
  <c r="M14" i="2" s="1"/>
  <c r="M15" i="2" s="1"/>
  <c r="W15" i="2" s="1"/>
  <c r="K13" i="2"/>
  <c r="K14" i="2" s="1"/>
  <c r="K15" i="2" s="1"/>
  <c r="U15" i="2" s="1"/>
  <c r="S12" i="2"/>
  <c r="AC12" i="2" s="1"/>
  <c r="Q12" i="2"/>
  <c r="AA12" i="2" s="1"/>
  <c r="O12" i="2"/>
  <c r="Y12" i="2" s="1"/>
  <c r="M12" i="2"/>
  <c r="W12" i="2" s="1"/>
  <c r="K12" i="2"/>
  <c r="U12" i="2" s="1"/>
  <c r="J9" i="2"/>
  <c r="T9" i="2" s="1"/>
  <c r="K9" i="2"/>
  <c r="U9" i="2" s="1"/>
  <c r="S9" i="2"/>
  <c r="AC9" i="2" s="1"/>
  <c r="R9" i="2"/>
  <c r="AB9" i="2" s="1"/>
  <c r="Q9" i="2"/>
  <c r="AA9" i="2" s="1"/>
  <c r="P9" i="2"/>
  <c r="Z9" i="2" s="1"/>
  <c r="O9" i="2"/>
  <c r="Y9" i="2" s="1"/>
  <c r="N9" i="2"/>
  <c r="X9" i="2" s="1"/>
  <c r="M9" i="2"/>
  <c r="W9" i="2" s="1"/>
  <c r="L9" i="2"/>
  <c r="V9" i="2" s="1"/>
  <c r="S8" i="2"/>
  <c r="AC8" i="2" s="1"/>
  <c r="S7" i="2"/>
  <c r="AC7" i="2" s="1"/>
  <c r="S6" i="2"/>
  <c r="AC6" i="2" s="1"/>
  <c r="R8" i="2"/>
  <c r="AB8" i="2" s="1"/>
  <c r="R7" i="2"/>
  <c r="AB7" i="2" s="1"/>
  <c r="R6" i="2"/>
  <c r="AB6" i="2" s="1"/>
  <c r="Q8" i="2"/>
  <c r="AA8" i="2" s="1"/>
  <c r="Q7" i="2"/>
  <c r="AA7" i="2" s="1"/>
  <c r="Q6" i="2"/>
  <c r="AA6" i="2" s="1"/>
  <c r="P8" i="2"/>
  <c r="Z8" i="2" s="1"/>
  <c r="P7" i="2"/>
  <c r="Z7" i="2" s="1"/>
  <c r="P6" i="2"/>
  <c r="O8" i="2"/>
  <c r="Y8" i="2" s="1"/>
  <c r="O7" i="2"/>
  <c r="Y7" i="2" s="1"/>
  <c r="O6" i="2"/>
  <c r="O5" i="2"/>
  <c r="Y5" i="2" s="1"/>
  <c r="N8" i="2"/>
  <c r="X8" i="2" s="1"/>
  <c r="N7" i="2"/>
  <c r="X7" i="2" s="1"/>
  <c r="M7" i="2"/>
  <c r="N6" i="2"/>
  <c r="X6" i="2" s="1"/>
  <c r="N5" i="2"/>
  <c r="X5" i="2" s="1"/>
  <c r="M8" i="2"/>
  <c r="W8" i="2" s="1"/>
  <c r="M6" i="2"/>
  <c r="W6" i="2" s="1"/>
  <c r="M5" i="2"/>
  <c r="W5" i="2" s="1"/>
  <c r="L8" i="2"/>
  <c r="L7" i="2"/>
  <c r="V7" i="2" s="1"/>
  <c r="L6" i="2"/>
  <c r="V6" i="2" s="1"/>
  <c r="L5" i="2"/>
  <c r="V5" i="2" s="1"/>
  <c r="K8" i="2"/>
  <c r="U8" i="2" s="1"/>
  <c r="K7" i="2"/>
  <c r="U7" i="2" s="1"/>
  <c r="K6" i="2"/>
  <c r="U6" i="2" s="1"/>
  <c r="K5" i="2"/>
  <c r="U5" i="2" s="1"/>
  <c r="J8" i="2"/>
  <c r="T8" i="2" s="1"/>
  <c r="J7" i="2"/>
  <c r="T7" i="2" s="1"/>
  <c r="J6" i="2"/>
  <c r="T6" i="2" s="1"/>
  <c r="J5" i="2"/>
  <c r="T5" i="2" s="1"/>
  <c r="S5" i="2"/>
  <c r="AC5" i="2" s="1"/>
  <c r="R5" i="2"/>
  <c r="AB5" i="2" s="1"/>
  <c r="Q5" i="2"/>
  <c r="AA5" i="2" s="1"/>
  <c r="P5" i="2"/>
  <c r="Z5" i="2" s="1"/>
  <c r="S4" i="2"/>
  <c r="AC4" i="2" s="1"/>
  <c r="S3" i="2"/>
  <c r="AC3" i="2" s="1"/>
  <c r="R4" i="2"/>
  <c r="AB4" i="2" s="1"/>
  <c r="R3" i="2"/>
  <c r="AB3" i="2" s="1"/>
  <c r="Q4" i="2"/>
  <c r="AA4" i="2" s="1"/>
  <c r="Q3" i="2"/>
  <c r="AA3" i="2" s="1"/>
  <c r="P4" i="2"/>
  <c r="Z4" i="2" s="1"/>
  <c r="P3" i="2"/>
  <c r="Z3" i="2" s="1"/>
  <c r="O4" i="2"/>
  <c r="Y4" i="2" s="1"/>
  <c r="O3" i="2"/>
  <c r="Y3" i="2" s="1"/>
  <c r="N4" i="2"/>
  <c r="X4" i="2" s="1"/>
  <c r="N3" i="2"/>
  <c r="X3" i="2" s="1"/>
  <c r="M4" i="2"/>
  <c r="W4" i="2" s="1"/>
  <c r="M3" i="2"/>
  <c r="W3" i="2" s="1"/>
  <c r="L4" i="2"/>
  <c r="L3" i="2"/>
  <c r="V3" i="2" s="1"/>
  <c r="K4" i="2"/>
  <c r="U4" i="2" s="1"/>
  <c r="K3" i="2"/>
  <c r="U3" i="2" s="1"/>
  <c r="J4" i="2"/>
  <c r="T4" i="2" s="1"/>
  <c r="G3" i="2"/>
  <c r="D978" i="3"/>
  <c r="E971" i="3"/>
  <c r="E970" i="3"/>
  <c r="E969" i="3"/>
  <c r="E968" i="3"/>
  <c r="E967" i="3"/>
  <c r="D968" i="3"/>
  <c r="E894" i="3"/>
  <c r="E893" i="3"/>
  <c r="E892" i="3"/>
  <c r="E891" i="3"/>
  <c r="E890" i="3"/>
  <c r="D895" i="3"/>
  <c r="D891" i="3"/>
  <c r="D890" i="3"/>
  <c r="E820" i="3"/>
  <c r="E819" i="3"/>
  <c r="E818" i="3"/>
  <c r="E817" i="3"/>
  <c r="E816" i="3"/>
  <c r="D818" i="3"/>
  <c r="D816" i="3"/>
  <c r="E669" i="3"/>
  <c r="E647" i="3"/>
  <c r="E636" i="3"/>
  <c r="D636" i="3"/>
  <c r="E593" i="3"/>
  <c r="E592" i="3"/>
  <c r="E591" i="3"/>
  <c r="E589" i="3"/>
  <c r="D593" i="3"/>
  <c r="D591" i="3"/>
  <c r="D589" i="3"/>
  <c r="E500" i="3"/>
  <c r="E499" i="3"/>
  <c r="E498" i="3"/>
  <c r="E497" i="3"/>
  <c r="E496" i="3"/>
  <c r="D500" i="3"/>
  <c r="D498" i="3"/>
  <c r="D497" i="3"/>
  <c r="D496" i="3"/>
  <c r="E364" i="3"/>
  <c r="E361" i="3"/>
  <c r="E362" i="3"/>
  <c r="E360" i="3"/>
  <c r="E309" i="3"/>
  <c r="E307" i="3"/>
  <c r="E311" i="3"/>
  <c r="E305" i="3"/>
  <c r="E316" i="3"/>
  <c r="D316" i="3"/>
  <c r="E234" i="3"/>
  <c r="E233" i="3"/>
  <c r="E232" i="3"/>
  <c r="E231" i="3"/>
  <c r="E230" i="3"/>
  <c r="D230" i="3"/>
  <c r="E176" i="3"/>
  <c r="E175" i="3"/>
  <c r="E174" i="3"/>
  <c r="E173" i="3"/>
  <c r="E172" i="3"/>
  <c r="E108" i="3"/>
  <c r="E107" i="3"/>
  <c r="E105" i="3"/>
  <c r="E79" i="3"/>
  <c r="D79" i="3"/>
  <c r="E35" i="3"/>
  <c r="E33" i="3"/>
  <c r="D235" i="3"/>
  <c r="E1012" i="3"/>
  <c r="E1000" i="3"/>
  <c r="E1008" i="3" s="1"/>
  <c r="E989" i="3"/>
  <c r="E988" i="3"/>
  <c r="E904" i="3"/>
  <c r="E903" i="3"/>
  <c r="E902" i="3"/>
  <c r="E901" i="3"/>
  <c r="E848" i="3"/>
  <c r="E843" i="3"/>
  <c r="E835" i="3"/>
  <c r="E834" i="3"/>
  <c r="E833" i="3"/>
  <c r="E832" i="3"/>
  <c r="E831" i="3"/>
  <c r="E830" i="3"/>
  <c r="E829" i="3"/>
  <c r="E828" i="3"/>
  <c r="F66" i="2"/>
  <c r="H66" i="2" s="1"/>
  <c r="F60" i="2"/>
  <c r="H60" i="2" s="1"/>
  <c r="E1029" i="3"/>
  <c r="G60" i="2" s="1"/>
  <c r="I60" i="2" s="1"/>
  <c r="D1029" i="3"/>
  <c r="G59" i="2"/>
  <c r="I59" i="2" s="1"/>
  <c r="G58" i="2"/>
  <c r="I58" i="2" s="1"/>
  <c r="E512" i="3"/>
  <c r="G47" i="2"/>
  <c r="I47" i="2" s="1"/>
  <c r="E1019" i="3"/>
  <c r="D1019" i="3"/>
  <c r="F47" i="2" s="1"/>
  <c r="H47" i="2" s="1"/>
  <c r="G44" i="2"/>
  <c r="I44" i="2" s="1"/>
  <c r="D1008" i="3"/>
  <c r="F44" i="2" s="1"/>
  <c r="H44" i="2" s="1"/>
  <c r="D996" i="3"/>
  <c r="F43" i="2" s="1"/>
  <c r="H43" i="2" s="1"/>
  <c r="E984" i="3"/>
  <c r="G41" i="2" s="1"/>
  <c r="I41" i="2" s="1"/>
  <c r="D984" i="3"/>
  <c r="D983" i="3"/>
  <c r="D972" i="3"/>
  <c r="E972" i="3"/>
  <c r="D973" i="3"/>
  <c r="E84" i="3"/>
  <c r="E110" i="3"/>
  <c r="E111" i="3"/>
  <c r="E321" i="3"/>
  <c r="G17" i="2" s="1"/>
  <c r="I17" i="2" s="1"/>
  <c r="E661" i="3"/>
  <c r="G18" i="2" s="1"/>
  <c r="I18" i="2" s="1"/>
  <c r="I48" i="2"/>
  <c r="H48" i="2"/>
  <c r="H42" i="2"/>
  <c r="I42" i="2"/>
  <c r="H61" i="2"/>
  <c r="I61" i="2"/>
  <c r="H62" i="2"/>
  <c r="I62" i="2"/>
  <c r="H75" i="2"/>
  <c r="I75" i="2"/>
  <c r="D896" i="3"/>
  <c r="D822" i="3"/>
  <c r="D821" i="3"/>
  <c r="E815" i="3"/>
  <c r="E808" i="3"/>
  <c r="E799" i="3"/>
  <c r="E790" i="3"/>
  <c r="E788" i="3"/>
  <c r="E789" i="3"/>
  <c r="E787" i="3"/>
  <c r="E786" i="3"/>
  <c r="E785" i="3"/>
  <c r="E784" i="3"/>
  <c r="E772" i="3"/>
  <c r="E771" i="3"/>
  <c r="E764" i="3"/>
  <c r="E762" i="3"/>
  <c r="E761" i="3"/>
  <c r="E760" i="3"/>
  <c r="E759" i="3"/>
  <c r="E758" i="3"/>
  <c r="E757" i="3"/>
  <c r="E756" i="3"/>
  <c r="E753" i="3"/>
  <c r="E754" i="3"/>
  <c r="E749" i="3"/>
  <c r="E748" i="3"/>
  <c r="E746" i="3"/>
  <c r="E744" i="3"/>
  <c r="E743" i="3"/>
  <c r="E742" i="3"/>
  <c r="E740" i="3"/>
  <c r="E731" i="3"/>
  <c r="E735" i="3"/>
  <c r="E734" i="3"/>
  <c r="E729" i="3"/>
  <c r="E728" i="3"/>
  <c r="E723" i="3"/>
  <c r="E722" i="3"/>
  <c r="E720" i="3"/>
  <c r="E719" i="3"/>
  <c r="E718" i="3"/>
  <c r="E717" i="3"/>
  <c r="E716" i="3"/>
  <c r="E715" i="3"/>
  <c r="E714" i="3"/>
  <c r="E713" i="3"/>
  <c r="E712" i="3"/>
  <c r="E711" i="3"/>
  <c r="E710" i="3"/>
  <c r="E709" i="3"/>
  <c r="E708" i="3"/>
  <c r="E707" i="3"/>
  <c r="E706" i="3"/>
  <c r="E705" i="3"/>
  <c r="E704" i="3"/>
  <c r="E703" i="3"/>
  <c r="E701" i="3"/>
  <c r="E702" i="3"/>
  <c r="E699" i="3"/>
  <c r="D684" i="3"/>
  <c r="F49" i="2" s="1"/>
  <c r="H49" i="2" s="1"/>
  <c r="E677" i="3"/>
  <c r="E676" i="3"/>
  <c r="D672" i="3"/>
  <c r="F19" i="2" s="1"/>
  <c r="H19" i="2" s="1"/>
  <c r="E665" i="3"/>
  <c r="E671" i="3" s="1"/>
  <c r="D661" i="3"/>
  <c r="F18" i="2" s="1"/>
  <c r="D650" i="3"/>
  <c r="E643" i="3"/>
  <c r="E649" i="3" s="1"/>
  <c r="E240" i="3"/>
  <c r="E78" i="3"/>
  <c r="E77" i="3"/>
  <c r="E76" i="3"/>
  <c r="E69" i="3"/>
  <c r="E66" i="3"/>
  <c r="E67" i="3"/>
  <c r="E64" i="3"/>
  <c r="D85" i="3"/>
  <c r="D84" i="3"/>
  <c r="D39" i="3"/>
  <c r="F13" i="2" s="1"/>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52" i="3"/>
  <c r="E50" i="3"/>
  <c r="E49" i="3"/>
  <c r="E47" i="3"/>
  <c r="D639" i="3"/>
  <c r="E632" i="3"/>
  <c r="E631" i="3"/>
  <c r="E630" i="3"/>
  <c r="E628" i="3"/>
  <c r="E629" i="3"/>
  <c r="E627" i="3"/>
  <c r="E626" i="3"/>
  <c r="E625" i="3"/>
  <c r="E624" i="3"/>
  <c r="E623" i="3"/>
  <c r="E622" i="3"/>
  <c r="E621" i="3"/>
  <c r="E620" i="3"/>
  <c r="E619" i="3"/>
  <c r="E618" i="3"/>
  <c r="E612" i="3"/>
  <c r="E609" i="3"/>
  <c r="E638" i="3" s="1"/>
  <c r="D594" i="3"/>
  <c r="E565" i="3"/>
  <c r="E562" i="3"/>
  <c r="E560" i="3"/>
  <c r="E558" i="3"/>
  <c r="E557" i="3"/>
  <c r="E556" i="3"/>
  <c r="E554" i="3"/>
  <c r="E550" i="3"/>
  <c r="E547" i="3"/>
  <c r="E546" i="3"/>
  <c r="E543" i="3"/>
  <c r="E542" i="3"/>
  <c r="E537" i="3"/>
  <c r="E531" i="3"/>
  <c r="E528" i="3"/>
  <c r="E516" i="3"/>
  <c r="E412" i="3"/>
  <c r="E494" i="3"/>
  <c r="E469" i="3"/>
  <c r="E452" i="3"/>
  <c r="E444" i="3"/>
  <c r="E441" i="3"/>
  <c r="E439" i="3"/>
  <c r="E438" i="3"/>
  <c r="E437" i="3"/>
  <c r="E432" i="3"/>
  <c r="E430" i="3"/>
  <c r="E425" i="3"/>
  <c r="E424" i="3"/>
  <c r="E423" i="3"/>
  <c r="E422" i="3"/>
  <c r="E419" i="3"/>
  <c r="E420" i="3"/>
  <c r="E421" i="3"/>
  <c r="E418" i="3"/>
  <c r="E417" i="3"/>
  <c r="E416" i="3"/>
  <c r="E415" i="3"/>
  <c r="E414" i="3"/>
  <c r="E410" i="3"/>
  <c r="E407" i="3"/>
  <c r="E399" i="3"/>
  <c r="D502" i="3"/>
  <c r="D501" i="3"/>
  <c r="E387" i="3"/>
  <c r="E386" i="3"/>
  <c r="E372" i="3"/>
  <c r="E375" i="3"/>
  <c r="E374" i="3"/>
  <c r="E370" i="3"/>
  <c r="E334" i="3"/>
  <c r="E333" i="3"/>
  <c r="E332" i="3"/>
  <c r="E331" i="3"/>
  <c r="E330" i="3"/>
  <c r="E329" i="3"/>
  <c r="E325" i="3"/>
  <c r="E326" i="3"/>
  <c r="E290" i="3"/>
  <c r="E289" i="3"/>
  <c r="E287" i="3"/>
  <c r="E285" i="3"/>
  <c r="E284" i="3"/>
  <c r="E283" i="3"/>
  <c r="E282" i="3"/>
  <c r="E281" i="3"/>
  <c r="E280" i="3"/>
  <c r="E276" i="3"/>
  <c r="E274" i="3"/>
  <c r="E273" i="3"/>
  <c r="E272" i="3"/>
  <c r="E270" i="3"/>
  <c r="E269" i="3"/>
  <c r="E268" i="3"/>
  <c r="E267" i="3"/>
  <c r="E266" i="3"/>
  <c r="E265" i="3"/>
  <c r="E264" i="3"/>
  <c r="E263" i="3"/>
  <c r="E262" i="3"/>
  <c r="E261" i="3"/>
  <c r="E260" i="3"/>
  <c r="E259" i="3"/>
  <c r="E258" i="3"/>
  <c r="E257" i="3"/>
  <c r="E256" i="3"/>
  <c r="D251" i="3"/>
  <c r="F10" i="2" s="1"/>
  <c r="H10" i="2" s="1"/>
  <c r="E244" i="3"/>
  <c r="E242" i="3"/>
  <c r="E187" i="3"/>
  <c r="E186" i="3"/>
  <c r="E185" i="3"/>
  <c r="E177" i="3"/>
  <c r="E119" i="3"/>
  <c r="E118" i="3"/>
  <c r="E117" i="3"/>
  <c r="E115" i="3"/>
  <c r="D178" i="3"/>
  <c r="D177" i="3"/>
  <c r="E44" i="3"/>
  <c r="E45" i="3"/>
  <c r="G18" i="19"/>
  <c r="G19" i="19"/>
  <c r="F19" i="19"/>
  <c r="E19" i="19"/>
  <c r="D19" i="19"/>
  <c r="C19" i="19"/>
  <c r="B19" i="19"/>
  <c r="E18" i="19"/>
  <c r="E15" i="19"/>
  <c r="E14" i="19"/>
  <c r="E16" i="19"/>
  <c r="E17" i="19"/>
  <c r="E13" i="19"/>
  <c r="B13" i="19"/>
  <c r="F17" i="19"/>
  <c r="D17" i="19"/>
  <c r="C17" i="19"/>
  <c r="B17" i="19"/>
  <c r="F16" i="19"/>
  <c r="D16" i="19"/>
  <c r="C16" i="19"/>
  <c r="B16" i="19"/>
  <c r="F15" i="19"/>
  <c r="D15" i="19"/>
  <c r="C15" i="19"/>
  <c r="B15" i="19"/>
  <c r="F14" i="19"/>
  <c r="D14" i="19"/>
  <c r="B14" i="19"/>
  <c r="C14" i="19"/>
  <c r="F13" i="19"/>
  <c r="D13" i="19"/>
  <c r="C13" i="19"/>
  <c r="B9" i="19"/>
  <c r="J9" i="19"/>
  <c r="I9" i="19"/>
  <c r="H9" i="19"/>
  <c r="C9" i="19"/>
  <c r="D9" i="19"/>
  <c r="E9" i="19"/>
  <c r="F9" i="19"/>
  <c r="G9" i="19"/>
  <c r="H3" i="19"/>
  <c r="J3" i="19"/>
  <c r="I3" i="19"/>
  <c r="B4" i="19"/>
  <c r="C4" i="19"/>
  <c r="D4" i="19"/>
  <c r="E4" i="19"/>
  <c r="F4" i="19"/>
  <c r="G4" i="19"/>
  <c r="H4" i="19"/>
  <c r="I4" i="19"/>
  <c r="J4" i="19"/>
  <c r="J5" i="19"/>
  <c r="I5" i="19"/>
  <c r="H5" i="19"/>
  <c r="G5" i="19"/>
  <c r="F5" i="19"/>
  <c r="E5" i="19"/>
  <c r="D5" i="19"/>
  <c r="C5" i="19"/>
  <c r="B5" i="19"/>
  <c r="D6" i="19"/>
  <c r="C6" i="19"/>
  <c r="E6" i="19"/>
  <c r="F6" i="19"/>
  <c r="I6" i="19"/>
  <c r="J6" i="19"/>
  <c r="H6" i="19"/>
  <c r="G6" i="19"/>
  <c r="C7" i="19"/>
  <c r="D7" i="19"/>
  <c r="E7" i="19"/>
  <c r="F7" i="19"/>
  <c r="G7" i="19"/>
  <c r="J7" i="19"/>
  <c r="I7" i="19"/>
  <c r="H7" i="19"/>
  <c r="B7" i="19"/>
  <c r="B6" i="19"/>
  <c r="E605" i="3"/>
  <c r="G66" i="2" s="1"/>
  <c r="I66" i="2" s="1"/>
  <c r="D605" i="3"/>
  <c r="D595" i="3"/>
  <c r="D524" i="3"/>
  <c r="F59" i="2" s="1"/>
  <c r="D512" i="3"/>
  <c r="D395" i="3"/>
  <c r="F36" i="2" s="1"/>
  <c r="H36" i="2" s="1"/>
  <c r="D382" i="3"/>
  <c r="F27" i="2" s="1"/>
  <c r="H27" i="2" s="1"/>
  <c r="D321" i="3"/>
  <c r="F17" i="2" s="1"/>
  <c r="D366" i="3"/>
  <c r="D311" i="3"/>
  <c r="D236" i="3"/>
  <c r="D111" i="3"/>
  <c r="D60" i="3"/>
  <c r="F30" i="2" s="1"/>
  <c r="D638" i="3"/>
  <c r="D365" i="3"/>
  <c r="D310" i="3"/>
  <c r="D110" i="3"/>
  <c r="W77" i="2" l="1"/>
  <c r="C85" i="2" s="1"/>
  <c r="AC77" i="2"/>
  <c r="C88" i="2" s="1"/>
  <c r="AB77" i="2"/>
  <c r="B88" i="2" s="1"/>
  <c r="V77" i="2"/>
  <c r="B85" i="2" s="1"/>
  <c r="U77" i="2"/>
  <c r="C84" i="2" s="1"/>
  <c r="X77" i="2"/>
  <c r="B86" i="2" s="1"/>
  <c r="T77" i="2"/>
  <c r="Y77" i="2"/>
  <c r="C86" i="2" s="1"/>
  <c r="AA77" i="2"/>
  <c r="C87" i="2" s="1"/>
  <c r="Z77" i="2"/>
  <c r="B87" i="2" s="1"/>
  <c r="W13" i="2"/>
  <c r="P15" i="2"/>
  <c r="Z15" i="2" s="1"/>
  <c r="V14" i="2"/>
  <c r="AB22" i="2"/>
  <c r="U14" i="2"/>
  <c r="AA22" i="2"/>
  <c r="Z21" i="2"/>
  <c r="Y21" i="2"/>
  <c r="S22" i="2"/>
  <c r="AC14" i="2"/>
  <c r="S15" i="2"/>
  <c r="AC15" i="2" s="1"/>
  <c r="U13" i="2"/>
  <c r="Z22" i="2"/>
  <c r="W21" i="2"/>
  <c r="T14" i="2"/>
  <c r="Y22" i="2"/>
  <c r="V21" i="2"/>
  <c r="X22" i="2"/>
  <c r="U21" i="2"/>
  <c r="W22" i="2"/>
  <c r="AC13" i="2"/>
  <c r="AA14" i="2"/>
  <c r="V22" i="2"/>
  <c r="J22" i="2"/>
  <c r="U22" i="2"/>
  <c r="AA13" i="2"/>
  <c r="X14" i="2"/>
  <c r="AB21" i="2"/>
  <c r="X21" i="2"/>
  <c r="O14" i="2"/>
  <c r="W14" i="2"/>
  <c r="AA21" i="2"/>
  <c r="E996" i="3"/>
  <c r="G43" i="2" s="1"/>
  <c r="I43" i="2" s="1"/>
  <c r="F3" i="2"/>
  <c r="E973" i="3"/>
  <c r="G21" i="2" s="1"/>
  <c r="I21" i="2" s="1"/>
  <c r="F9" i="2"/>
  <c r="H9" i="2" s="1"/>
  <c r="F28" i="2"/>
  <c r="H28" i="2" s="1"/>
  <c r="E896" i="3"/>
  <c r="F24" i="2"/>
  <c r="H24" i="2" s="1"/>
  <c r="F41" i="2"/>
  <c r="H41" i="2" s="1"/>
  <c r="G46" i="2"/>
  <c r="I46" i="2" s="1"/>
  <c r="F16" i="2"/>
  <c r="H16" i="2" s="1"/>
  <c r="F21" i="2"/>
  <c r="H21" i="2" s="1"/>
  <c r="E895" i="3"/>
  <c r="F57" i="2"/>
  <c r="H57" i="2" s="1"/>
  <c r="F23" i="2"/>
  <c r="H23" i="2" s="1"/>
  <c r="F63" i="2"/>
  <c r="H63" i="2" s="1"/>
  <c r="F69" i="2"/>
  <c r="H69" i="2" s="1"/>
  <c r="F55" i="2"/>
  <c r="H55" i="2" s="1"/>
  <c r="F4" i="2"/>
  <c r="H4" i="2" s="1"/>
  <c r="E650" i="3"/>
  <c r="F22" i="2"/>
  <c r="H22" i="2" s="1"/>
  <c r="F38" i="2"/>
  <c r="H38" i="2" s="1"/>
  <c r="F58" i="2"/>
  <c r="H58" i="2" s="1"/>
  <c r="F70" i="2"/>
  <c r="H70" i="2" s="1"/>
  <c r="E85" i="3"/>
  <c r="G8" i="2" s="1"/>
  <c r="I8" i="2" s="1"/>
  <c r="F29" i="2"/>
  <c r="H29" i="2" s="1"/>
  <c r="F39" i="2"/>
  <c r="H39" i="2" s="1"/>
  <c r="F71" i="2"/>
  <c r="H71" i="2" s="1"/>
  <c r="E684" i="3"/>
  <c r="G49" i="2" s="1"/>
  <c r="I49" i="2" s="1"/>
  <c r="G45" i="2"/>
  <c r="I45" i="2" s="1"/>
  <c r="F72" i="2"/>
  <c r="H72" i="2" s="1"/>
  <c r="F73" i="2"/>
  <c r="H73" i="2" s="1"/>
  <c r="F37" i="2"/>
  <c r="H37" i="2" s="1"/>
  <c r="H30" i="2"/>
  <c r="F74" i="2"/>
  <c r="H74" i="2" s="1"/>
  <c r="F31" i="2"/>
  <c r="H31" i="2" s="1"/>
  <c r="F52" i="2"/>
  <c r="H52" i="2" s="1"/>
  <c r="E178" i="3"/>
  <c r="G69" i="2" s="1"/>
  <c r="I69" i="2" s="1"/>
  <c r="F32" i="2"/>
  <c r="H32" i="2" s="1"/>
  <c r="F53" i="2"/>
  <c r="H53" i="2" s="1"/>
  <c r="F51" i="2"/>
  <c r="H51" i="2" s="1"/>
  <c r="F25" i="2"/>
  <c r="H25" i="2" s="1"/>
  <c r="F33" i="2"/>
  <c r="H33" i="2" s="1"/>
  <c r="F54" i="2"/>
  <c r="H54" i="2" s="1"/>
  <c r="F50" i="2"/>
  <c r="H50" i="2" s="1"/>
  <c r="F34" i="2"/>
  <c r="H34" i="2" s="1"/>
  <c r="F26" i="2"/>
  <c r="H26" i="2" s="1"/>
  <c r="F35" i="2"/>
  <c r="H35" i="2" s="1"/>
  <c r="F56" i="2"/>
  <c r="H56" i="2" s="1"/>
  <c r="F68" i="2"/>
  <c r="H68" i="2" s="1"/>
  <c r="H59" i="2"/>
  <c r="E595" i="3"/>
  <c r="E366" i="3"/>
  <c r="E38" i="3"/>
  <c r="E236" i="3"/>
  <c r="E502" i="3"/>
  <c r="G12" i="2"/>
  <c r="I12" i="2" s="1"/>
  <c r="F12" i="2"/>
  <c r="H12" i="2" s="1"/>
  <c r="E382" i="3"/>
  <c r="E822" i="3"/>
  <c r="E60" i="3"/>
  <c r="G30" i="2" s="1"/>
  <c r="I30" i="2" s="1"/>
  <c r="F20" i="2"/>
  <c r="H20" i="2" s="1"/>
  <c r="E639" i="3"/>
  <c r="G76" i="2" s="1"/>
  <c r="I76" i="2" s="1"/>
  <c r="E39" i="3"/>
  <c r="E395" i="3"/>
  <c r="E251" i="3"/>
  <c r="G11" i="2" s="1"/>
  <c r="I11" i="2" s="1"/>
  <c r="H17" i="2"/>
  <c r="H18" i="2"/>
  <c r="F15" i="2"/>
  <c r="H15" i="2" s="1"/>
  <c r="E672" i="3"/>
  <c r="G19" i="2" s="1"/>
  <c r="I19" i="2" s="1"/>
  <c r="F76" i="2"/>
  <c r="H76" i="2" s="1"/>
  <c r="F40" i="2"/>
  <c r="H40" i="2" s="1"/>
  <c r="F46" i="2"/>
  <c r="H46" i="2" s="1"/>
  <c r="F65" i="2"/>
  <c r="H65" i="2" s="1"/>
  <c r="F67" i="2"/>
  <c r="H67" i="2" s="1"/>
  <c r="F11" i="2"/>
  <c r="H11" i="2" s="1"/>
  <c r="F5" i="2"/>
  <c r="H5" i="2" s="1"/>
  <c r="H13" i="2"/>
  <c r="F6" i="2"/>
  <c r="H6" i="2" s="1"/>
  <c r="F14" i="2"/>
  <c r="H14" i="2" s="1"/>
  <c r="F7" i="2"/>
  <c r="H7" i="2" s="1"/>
  <c r="F8" i="2"/>
  <c r="H8" i="2" s="1"/>
  <c r="F45" i="2"/>
  <c r="H45" i="2" s="1"/>
  <c r="F64" i="2"/>
  <c r="H64" i="2" s="1"/>
  <c r="H77" i="2" s="1"/>
  <c r="B81" i="2" s="1"/>
  <c r="B82" i="2" s="1"/>
  <c r="E821" i="3"/>
  <c r="E594" i="3"/>
  <c r="E501" i="3"/>
  <c r="E365" i="3"/>
  <c r="E310" i="3"/>
  <c r="E235" i="3"/>
  <c r="C18" i="19"/>
  <c r="D18" i="19"/>
  <c r="F18" i="19"/>
  <c r="B18" i="19"/>
  <c r="G17" i="19"/>
  <c r="H17" i="19" s="1"/>
  <c r="G13" i="19"/>
  <c r="G14" i="19"/>
  <c r="H14" i="19" s="1"/>
  <c r="G16" i="19"/>
  <c r="H16" i="19" s="1"/>
  <c r="G15" i="19"/>
  <c r="H15" i="19" s="1"/>
  <c r="I8" i="19"/>
  <c r="J8" i="19"/>
  <c r="K6" i="19"/>
  <c r="F8" i="19"/>
  <c r="K5" i="19"/>
  <c r="E8" i="19"/>
  <c r="K9" i="19"/>
  <c r="D8" i="19"/>
  <c r="K7" i="19"/>
  <c r="C8" i="19"/>
  <c r="G8" i="19"/>
  <c r="B8" i="19"/>
  <c r="K4" i="19"/>
  <c r="K3" i="19"/>
  <c r="H8" i="19"/>
  <c r="S23" i="2" l="1"/>
  <c r="AC23" i="2" s="1"/>
  <c r="AC22" i="2"/>
  <c r="J23" i="2"/>
  <c r="T23" i="2" s="1"/>
  <c r="T22" i="2"/>
  <c r="O15" i="2"/>
  <c r="Y15" i="2" s="1"/>
  <c r="Y14" i="2"/>
  <c r="B90" i="2"/>
  <c r="G20" i="2"/>
  <c r="I20" i="2" s="1"/>
  <c r="G23" i="2"/>
  <c r="I23" i="2" s="1"/>
  <c r="G22" i="2"/>
  <c r="I22" i="2" s="1"/>
  <c r="G5" i="2"/>
  <c r="I5" i="2" s="1"/>
  <c r="G68" i="2"/>
  <c r="I68" i="2" s="1"/>
  <c r="G15" i="2"/>
  <c r="I15" i="2" s="1"/>
  <c r="G71" i="2"/>
  <c r="I71" i="2" s="1"/>
  <c r="G7" i="2"/>
  <c r="I7" i="2" s="1"/>
  <c r="G10" i="2"/>
  <c r="I10" i="2" s="1"/>
  <c r="G72" i="2"/>
  <c r="I72" i="2" s="1"/>
  <c r="G24" i="2"/>
  <c r="I24" i="2" s="1"/>
  <c r="G40" i="2"/>
  <c r="I40" i="2" s="1"/>
  <c r="G9" i="2"/>
  <c r="I9" i="2" s="1"/>
  <c r="G73" i="2"/>
  <c r="I73" i="2" s="1"/>
  <c r="G50" i="2"/>
  <c r="I50" i="2" s="1"/>
  <c r="G51" i="2"/>
  <c r="I51" i="2" s="1"/>
  <c r="G52" i="2"/>
  <c r="I52" i="2" s="1"/>
  <c r="G57" i="2"/>
  <c r="I57" i="2" s="1"/>
  <c r="G56" i="2"/>
  <c r="I56" i="2" s="1"/>
  <c r="G55" i="2"/>
  <c r="I55" i="2" s="1"/>
  <c r="G54" i="2"/>
  <c r="I54" i="2" s="1"/>
  <c r="G53" i="2"/>
  <c r="I53" i="2" s="1"/>
  <c r="G6" i="2"/>
  <c r="I6" i="2" s="1"/>
  <c r="G70" i="2"/>
  <c r="I70" i="2" s="1"/>
  <c r="G26" i="2"/>
  <c r="I26" i="2" s="1"/>
  <c r="G25" i="2"/>
  <c r="I25" i="2" s="1"/>
  <c r="G27" i="2"/>
  <c r="I27" i="2" s="1"/>
  <c r="G29" i="2"/>
  <c r="I29" i="2" s="1"/>
  <c r="G64" i="2"/>
  <c r="I64" i="2" s="1"/>
  <c r="I77" i="2" s="1"/>
  <c r="C81" i="2" s="1"/>
  <c r="G63" i="2"/>
  <c r="I63" i="2" s="1"/>
  <c r="G65" i="2"/>
  <c r="I65" i="2" s="1"/>
  <c r="G28" i="2"/>
  <c r="I28" i="2" s="1"/>
  <c r="G74" i="2"/>
  <c r="I74" i="2" s="1"/>
  <c r="G39" i="2"/>
  <c r="I39" i="2" s="1"/>
  <c r="G38" i="2"/>
  <c r="I38" i="2" s="1"/>
  <c r="G37" i="2"/>
  <c r="I37" i="2" s="1"/>
  <c r="G36" i="2"/>
  <c r="I36" i="2" s="1"/>
  <c r="G35" i="2"/>
  <c r="I35" i="2" s="1"/>
  <c r="G34" i="2"/>
  <c r="I34" i="2" s="1"/>
  <c r="G33" i="2"/>
  <c r="I33" i="2" s="1"/>
  <c r="G32" i="2"/>
  <c r="I32" i="2" s="1"/>
  <c r="G31" i="2"/>
  <c r="I31" i="2" s="1"/>
  <c r="G67" i="2"/>
  <c r="I67" i="2" s="1"/>
  <c r="G13" i="2"/>
  <c r="I13" i="2" s="1"/>
  <c r="G14" i="2"/>
  <c r="I14" i="2" s="1"/>
  <c r="G16" i="2"/>
  <c r="I16" i="2" s="1"/>
  <c r="G4" i="2"/>
  <c r="I4" i="2" s="1"/>
  <c r="I3" i="2"/>
  <c r="H13" i="19"/>
  <c r="H18" i="19"/>
  <c r="L7" i="19"/>
  <c r="L5" i="19"/>
  <c r="K8" i="19"/>
  <c r="L8" i="19" s="1"/>
  <c r="L6" i="19"/>
  <c r="L3" i="19"/>
  <c r="L4" i="19"/>
  <c r="C9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E4E115-DD03-4567-A8EF-BAF1748C2461}" keepAlive="1" name="ModelConnection_ExternalData_9" description="Data Model" type="5" refreshedVersion="8" minRefreshableVersion="5" saveData="1">
    <dbPr connection="Data Model Connection" command="Table002  Page 2   3" commandType="3"/>
    <extLst>
      <ext xmlns:x15="http://schemas.microsoft.com/office/spreadsheetml/2010/11/main" uri="{DE250136-89BD-433C-8126-D09CA5730AF9}">
        <x15:connection id="" model="1"/>
      </ext>
    </extLst>
  </connection>
  <connection id="2" xr16:uid="{6F8E94E9-E93B-4938-BDDC-14232C46D61D}" keepAlive="1" name="Query - d927227da7579ed4c362a2e2b7179a9" description="Connection to the 'd927227da7579ed4c362a2e2b7179a9' query in the workbook." type="5" refreshedVersion="8" background="1" saveData="1">
    <dbPr connection="Provider=Microsoft.Mashup.OleDb.1;Data Source=$Workbook$;Location=d927227da7579ed4c362a2e2b7179a9;Extended Properties=&quot;&quot;" command="SELECT * FROM [d927227da7579ed4c362a2e2b7179a9]"/>
  </connection>
  <connection id="3" xr16:uid="{81C5DE4F-2F3B-4F53-98F0-DBA8676B0C27}" keepAlive="1" name="Query - Page001" description="Connection to the 'Page001' query in the workbook." type="5" refreshedVersion="0" background="1">
    <dbPr connection="Provider=Microsoft.Mashup.OleDb.1;Data Source=$Workbook$;Location=Page001;Extended Properties=&quot;&quot;" command="SELECT * FROM [Page001]"/>
  </connection>
  <connection id="4" xr16:uid="{4E1DA5BF-0C18-4265-8A24-FD0052CFEB11}"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 id="5" xr16:uid="{7B73E3C5-69BD-48CE-A652-78BC792D5013}" keepAlive="1" name="Query - Table001 (Page 1) (2)" description="Connection to the 'Table001 (Page 1) (2)' query in the workbook." type="5" refreshedVersion="8" background="1" saveData="1">
    <dbPr connection="Provider=Microsoft.Mashup.OleDb.1;Data Source=$Workbook$;Location=&quot;Table001 (Page 1) (2)&quot;;Extended Properties=&quot;&quot;" command="SELECT * FROM [Table001 (Page 1) (2)]"/>
  </connection>
  <connection id="6" xr16:uid="{D990B161-9906-4A3B-97A2-AABCC6D774E5}" keepAlive="1" name="Query - Table001 (Page 1) (3)" description="Connection to the 'Table001 (Page 1) (3)' query in the workbook." type="5" refreshedVersion="8" background="1" saveData="1">
    <dbPr connection="Provider=Microsoft.Mashup.OleDb.1;Data Source=$Workbook$;Location=&quot;Table001 (Page 1) (3)&quot;;Extended Properties=&quot;&quot;" command="SELECT * FROM [Table001 (Page 1) (3)]"/>
  </connection>
  <connection id="7" xr16:uid="{13314C70-C9EF-4AAB-B676-A798A274B483}" keepAlive="1" name="Query - Table001 (Page 1) (4)" description="Connection to the 'Table001 (Page 1) (4)' query in the workbook." type="5" refreshedVersion="8" background="1" saveData="1">
    <dbPr connection="Provider=Microsoft.Mashup.OleDb.1;Data Source=$Workbook$;Location=&quot;Table001 (Page 1) (4)&quot;;Extended Properties=&quot;&quot;" command="SELECT * FROM [Table001 (Page 1) (4)]"/>
  </connection>
  <connection id="8" xr16:uid="{0ACD9599-4470-49FA-BA26-E7485F55760E}" keepAlive="1" name="Query - Table001 (Page 1) (5)" description="Connection to the 'Table001 (Page 1) (5)' query in the workbook." type="5" refreshedVersion="8" background="1" saveData="1">
    <dbPr connection="Provider=Microsoft.Mashup.OleDb.1;Data Source=$Workbook$;Location=&quot;Table001 (Page 1) (5)&quot;;Extended Properties=&quot;&quot;" command="SELECT * FROM [Table001 (Page 1) (5)]"/>
  </connection>
  <connection id="9" xr16:uid="{B433BF75-614A-458D-8DFE-B785EFDB3CDA}" keepAlive="1" name="Query - Table001 (Page 1) (6)" description="Connection to the 'Table001 (Page 1) (6)' query in the workbook." type="5" refreshedVersion="8" background="1" saveData="1">
    <dbPr connection="Provider=Microsoft.Mashup.OleDb.1;Data Source=$Workbook$;Location=&quot;Table001 (Page 1) (6)&quot;;Extended Properties=&quot;&quot;" command="SELECT * FROM [Table001 (Page 1) (6)]"/>
  </connection>
  <connection id="10" xr16:uid="{80A73223-20DF-49D9-8974-535712977B72}" keepAlive="1" name="Query - Table001 (Page 1) (7)" description="Connection to the 'Table001 (Page 1) (7)' query in the workbook." type="5" refreshedVersion="8" background="1" saveData="1">
    <dbPr connection="Provider=Microsoft.Mashup.OleDb.1;Data Source=$Workbook$;Location=&quot;Table001 (Page 1) (7)&quot;;Extended Properties=&quot;&quot;" command="SELECT * FROM [Table001 (Page 1) (7)]"/>
  </connection>
  <connection id="11" xr16:uid="{492322BC-08F1-44EF-8AD7-C8A731485C3E}" keepAlive="1" name="Query - Table001 (Page 1-3)" description="Connection to the 'Table001 (Page 1-3)' query in the workbook." type="5" refreshedVersion="8" background="1" saveData="1">
    <dbPr connection="Provider=Microsoft.Mashup.OleDb.1;Data Source=$Workbook$;Location=&quot;Table001 (Page 1-3)&quot;;Extended Properties=&quot;&quot;" command="SELECT * FROM [Table001 (Page 1-3)]"/>
  </connection>
  <connection id="12" xr16:uid="{19C90E94-842C-4112-BDCC-87BEA3828FC5}" keepAlive="1" name="Query - Table001 (Page 1-7)" description="Connection to the 'Table001 (Page 1-7)' query in the workbook." type="5" refreshedVersion="8" background="1" saveData="1">
    <dbPr connection="Provider=Microsoft.Mashup.OleDb.1;Data Source=$Workbook$;Location=&quot;Table001 (Page 1-7)&quot;;Extended Properties=&quot;&quot;" command="SELECT * FROM [Table001 (Page 1-7)]"/>
  </connection>
  <connection id="13" xr16:uid="{9656568C-99BB-4803-932B-C92DFCD575A7}" keepAlive="1" name="Query - Table002 (Page 2)" description="Connection to the 'Table002 (Page 2)' query in the workbook." type="5" refreshedVersion="8" background="1" saveData="1">
    <dbPr connection="Provider=Microsoft.Mashup.OleDb.1;Data Source=$Workbook$;Location=&quot;Table002 (Page 2)&quot;;Extended Properties=&quot;&quot;" command="SELECT * FROM [Table002 (Page 2)]"/>
  </connection>
  <connection id="14" xr16:uid="{2A6ED3D8-FE32-4C8F-BA82-505B8958C165}" keepAlive="1" name="Query - Table002 (Page 2) (2)" description="Connection to the 'Table002 (Page 2) (2)' query in the workbook." type="5" refreshedVersion="8" background="1" saveData="1">
    <dbPr connection="Provider=Microsoft.Mashup.OleDb.1;Data Source=$Workbook$;Location=&quot;Table002 (Page 2) (2)&quot;;Extended Properties=&quot;&quot;" command="SELECT * FROM [Table002 (Page 2) (2)]"/>
  </connection>
  <connection id="15" xr16:uid="{378F0B75-F0B0-40EB-A039-E8A97ABC8570}" name="Query - Table002 (Page 2) (3)" description="Connection to the 'Table002 (Page 2) (3)' query in the workbook." type="100" refreshedVersion="8" minRefreshableVersion="5">
    <extLst>
      <ext xmlns:x15="http://schemas.microsoft.com/office/spreadsheetml/2010/11/main" uri="{DE250136-89BD-433C-8126-D09CA5730AF9}">
        <x15:connection id="552c4930-18d3-4f96-a004-552efae19b75"/>
      </ext>
    </extLst>
  </connection>
  <connection id="16" xr16:uid="{815BBCF8-BF31-40FA-9C90-9C4148B2C397}" keepAlive="1" name="Query - Table002 (Page 2) (4)" description="Connection to the 'Table002 (Page 2) (4)' query in the workbook." type="5" refreshedVersion="8" background="1" saveData="1">
    <dbPr connection="Provider=Microsoft.Mashup.OleDb.1;Data Source=$Workbook$;Location=&quot;Table002 (Page 2) (4)&quot;;Extended Properties=&quot;&quot;" command="SELECT * FROM [Table002 (Page 2) (4)]"/>
  </connection>
  <connection id="17" xr16:uid="{BC886707-88E5-4122-B2FC-59019EE9A954}" keepAlive="1" name="Query - Table002 (Page 2) (5)" description="Connection to the 'Table002 (Page 2) (5)' query in the workbook." type="5" refreshedVersion="8" background="1" saveData="1">
    <dbPr connection="Provider=Microsoft.Mashup.OleDb.1;Data Source=$Workbook$;Location=&quot;Table002 (Page 2) (5)&quot;;Extended Properties=&quot;&quot;" command="SELECT * FROM [Table002 (Page 2) (5)]"/>
  </connection>
  <connection id="18" xr16:uid="{6446E7E6-233D-423A-8413-BA0D51CA862E}" keepAlive="1" name="Query - Table003 (Page 3)" description="Connection to the 'Table003 (Page 3)' query in the workbook." type="5" refreshedVersion="8" background="1" saveData="1">
    <dbPr connection="Provider=Microsoft.Mashup.OleDb.1;Data Source=$Workbook$;Location=&quot;Table003 (Page 3)&quot;;Extended Properties=&quot;&quot;" command="SELECT * FROM [Table003 (Page 3)]"/>
  </connection>
  <connection id="19" xr16:uid="{E3281369-D3CD-4B60-9325-B1B6263B716F}" keepAlive="1" name="Query - Table003 (Page 3) (2)" description="Connection to the 'Table003 (Page 3) (2)' query in the workbook." type="5" refreshedVersion="8" background="1" saveData="1">
    <dbPr connection="Provider=Microsoft.Mashup.OleDb.1;Data Source=$Workbook$;Location=&quot;Table003 (Page 3) (2)&quot;;Extended Properties=&quot;&quot;" command="SELECT * FROM [Table003 (Page 3) (2)]"/>
  </connection>
  <connection id="20" xr16:uid="{8E03A731-6522-4CDB-908B-575C4B144CF3}" keepAlive="1" name="Query - Table003 (Page 3) (3)" description="Connection to the 'Table003 (Page 3) (3)' query in the workbook." type="5" refreshedVersion="8" background="1" saveData="1">
    <dbPr connection="Provider=Microsoft.Mashup.OleDb.1;Data Source=$Workbook$;Location=&quot;Table003 (Page 3) (3)&quot;;Extended Properties=&quot;&quot;" command="SELECT * FROM [Table003 (Page 3) (3)]"/>
  </connection>
  <connection id="21" xr16:uid="{63FE7D34-27C5-48BA-BB79-F4E753A7D48F}" keepAlive="1" name="Query - Table003 (Page 3) (4)" description="Connection to the 'Table003 (Page 3) (4)' query in the workbook." type="5" refreshedVersion="8" background="1" saveData="1">
    <dbPr connection="Provider=Microsoft.Mashup.OleDb.1;Data Source=$Workbook$;Location=&quot;Table003 (Page 3) (4)&quot;;Extended Properties=&quot;&quot;" command="SELECT * FROM [Table003 (Page 3) (4)]"/>
  </connection>
  <connection id="22" xr16:uid="{9C48EBF9-7724-4CC7-8B91-C2134C1722AD}" keepAlive="1" name="Query - Table004 (Page 4)" description="Connection to the 'Table004 (Page 4)' query in the workbook." type="5" refreshedVersion="8" background="1" saveData="1">
    <dbPr connection="Provider=Microsoft.Mashup.OleDb.1;Data Source=$Workbook$;Location=&quot;Table004 (Page 4)&quot;;Extended Properties=&quot;&quot;" command="SELECT * FROM [Table004 (Page 4)]"/>
  </connection>
  <connection id="23" xr16:uid="{CA4F8877-DBDE-45CF-BDEB-6496B3FE8237}" keepAlive="1" name="Query - Table004 (Page 4) (2)" description="Connection to the 'Table004 (Page 4) (2)' query in the workbook." type="5" refreshedVersion="8" background="1" saveData="1">
    <dbPr connection="Provider=Microsoft.Mashup.OleDb.1;Data Source=$Workbook$;Location=&quot;Table004 (Page 4) (2)&quot;;Extended Properties=&quot;&quot;" command="SELECT * FROM [Table004 (Page 4) (2)]"/>
  </connection>
  <connection id="24" xr16:uid="{7BBEE326-FFFD-4943-8C4D-F299C8B336C9}" keepAlive="1" name="Query - Table055 (Page 69)" description="Connection to the 'Table055 (Page 69)' query in the workbook." type="5" refreshedVersion="0" background="1">
    <dbPr connection="Provider=Microsoft.Mashup.OleDb.1;Data Source=$Workbook$;Location=&quot;Table055 (Page 69)&quot;;Extended Properties=&quot;&quot;" command="SELECT * FROM [Table055 (Page 69)]"/>
  </connection>
  <connection id="25" xr16:uid="{CFFFDC89-ACBD-4B12-8414-865C51818E8E}" keepAlive="1" name="Query - Table055 (Page 69) (2)" description="Connection to the 'Table055 (Page 69) (2)' query in the workbook." type="5" refreshedVersion="8" background="1" saveData="1">
    <dbPr connection="Provider=Microsoft.Mashup.OleDb.1;Data Source=$Workbook$;Location=&quot;Table055 (Page 69) (2)&quot;;Extended Properties=&quot;&quot;" command="SELECT * FROM [Table055 (Page 69) (2)]"/>
  </connection>
  <connection id="26" xr16:uid="{59CCFE2B-2B53-482A-ADB6-0AE83987603C}" keepAlive="1" name="Query - Table071 (Page 97)" description="Connection to the 'Table071 (Page 97)' query in the workbook." type="5" refreshedVersion="8" background="1" saveData="1">
    <dbPr connection="Provider=Microsoft.Mashup.OleDb.1;Data Source=$Workbook$;Location=&quot;Table071 (Page 97)&quot;;Extended Properties=&quot;&quot;" command="SELECT * FROM [Table071 (Page 97)]"/>
  </connection>
  <connection id="27" xr16:uid="{0262CD1E-E47C-44F2-B72A-8298E0188ECE}" keepAlive="1" name="Query - Table072 (Page 97)" description="Connection to the 'Table072 (Page 97)' query in the workbook." type="5" refreshedVersion="8" background="1" saveData="1">
    <dbPr connection="Provider=Microsoft.Mashup.OleDb.1;Data Source=$Workbook$;Location=&quot;Table072 (Page 97)&quot;;Extended Properties=&quot;&quot;" command="SELECT * FROM [Table072 (Page 97)]"/>
  </connection>
  <connection id="28" xr16:uid="{BE7F270A-E549-429A-8B29-5E7F3F701640}" keepAlive="1" name="Query - Table073 (Page 98)" description="Connection to the 'Table073 (Page 98)' query in the workbook." type="5" refreshedVersion="8" background="1" saveData="1">
    <dbPr connection="Provider=Microsoft.Mashup.OleDb.1;Data Source=$Workbook$;Location=&quot;Table073 (Page 98)&quot;;Extended Properties=&quot;&quot;" command="SELECT * FROM [Table073 (Page 98)]"/>
  </connection>
  <connection id="29" xr16:uid="{BD057BB9-9975-402A-A2C1-E41648D77227}" keepAlive="1" name="Query - Table074 (Page 99)" description="Connection to the 'Table074 (Page 99)' query in the workbook." type="5" refreshedVersion="8" background="1" saveData="1">
    <dbPr connection="Provider=Microsoft.Mashup.OleDb.1;Data Source=$Workbook$;Location=&quot;Table074 (Page 99)&quot;;Extended Properties=&quot;&quot;" command="SELECT * FROM [Table074 (Page 99)]"/>
  </connection>
  <connection id="30" xr16:uid="{A7B686BE-EAB2-4E21-BF68-CE692593EBFE}" keepAlive="1" name="Query - Table078 (Page 83)" description="Connection to the 'Table078 (Page 83)' query in the workbook." type="5" refreshedVersion="8" background="1" saveData="1">
    <dbPr connection="Provider=Microsoft.Mashup.OleDb.1;Data Source=$Workbook$;Location=&quot;Table078 (Page 83)&quot;;Extended Properties=&quot;&quot;" command="SELECT * FROM [Table078 (Page 83)]"/>
  </connection>
  <connection id="31" xr16:uid="{C5490852-7637-4751-BE9D-87A66CF20218}" keepAlive="1" name="Query - Table079 (Page 84)" description="Connection to the 'Table079 (Page 84)' query in the workbook." type="5" refreshedVersion="8" background="1" saveData="1">
    <dbPr connection="Provider=Microsoft.Mashup.OleDb.1;Data Source=$Workbook$;Location=&quot;Table079 (Page 84)&quot;;Extended Properties=&quot;&quot;" command="SELECT * FROM [Table079 (Page 84)]"/>
  </connection>
  <connection id="32" xr16:uid="{9B0D4F4A-93FF-4A99-A525-67A882E4F7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<sst xmlns="http://schemas.openxmlformats.org/spreadsheetml/2006/main" count="18115" uniqueCount="5466">
  <si>
    <t>Company</t>
  </si>
  <si>
    <t>Country</t>
  </si>
  <si>
    <t>Revenue 2021 (in milion $)</t>
  </si>
  <si>
    <t>Revenue 2022 (in milion $)</t>
  </si>
  <si>
    <t>#Shareholders</t>
  </si>
  <si>
    <t>Share of non-EU direct ownership</t>
  </si>
  <si>
    <t>Share of non-EU indirect ownership</t>
  </si>
  <si>
    <t>Weighted share of non-EU direct industry ownership</t>
  </si>
  <si>
    <t>Weighted share of non-EU indirect industry ownership</t>
  </si>
  <si>
    <t>US direct ownership</t>
  </si>
  <si>
    <t>US indirect ownership</t>
  </si>
  <si>
    <t>Canada direct ownership</t>
  </si>
  <si>
    <t>Canada indirect ownership</t>
  </si>
  <si>
    <t>UK direct ownership</t>
  </si>
  <si>
    <t>UK indirect ownership</t>
  </si>
  <si>
    <t>Switzerland direct ownership</t>
  </si>
  <si>
    <t>Norway direct ownership</t>
  </si>
  <si>
    <t>Norway indirect ownership</t>
  </si>
  <si>
    <t>US direct share</t>
  </si>
  <si>
    <t>US indirect share</t>
  </si>
  <si>
    <t>Canada direct share</t>
  </si>
  <si>
    <t>Canada indirect share</t>
  </si>
  <si>
    <t>UK direct share</t>
  </si>
  <si>
    <t>UK indirect share</t>
  </si>
  <si>
    <t>Switzerland direct share</t>
  </si>
  <si>
    <t>Switzerland indirect share</t>
  </si>
  <si>
    <t>Norway direct share</t>
  </si>
  <si>
    <t>Norway indirect share</t>
  </si>
  <si>
    <t>Owned by</t>
  </si>
  <si>
    <t>Country owner</t>
  </si>
  <si>
    <t>Revenu owner 2021 (in milion $)</t>
  </si>
  <si>
    <t>#Shareholders owner</t>
  </si>
  <si>
    <t>Aerospacelab</t>
  </si>
  <si>
    <t>BE</t>
  </si>
  <si>
    <t>Air Liquide Advanced Technologies</t>
  </si>
  <si>
    <t>FR</t>
  </si>
  <si>
    <t>L'AIR LIQUIDE SOCIETE ANONYME POUR L'ETUDE ET L'EXPLOITATION DES PROCEDES GEORGES CLAUDE</t>
  </si>
  <si>
    <t>Air Liquide France Industry</t>
  </si>
  <si>
    <t>Airbus Defence &amp; Space GMBH</t>
  </si>
  <si>
    <t>DE</t>
  </si>
  <si>
    <t>Airbus SE</t>
  </si>
  <si>
    <t>NL</t>
  </si>
  <si>
    <t>Airbus Defence &amp; Space Netherlands BV</t>
  </si>
  <si>
    <t>Airbus Defence &amp; Space SA</t>
  </si>
  <si>
    <t>ES</t>
  </si>
  <si>
    <t>Airbus Defence &amp; Space SAS</t>
  </si>
  <si>
    <t>ALTEC (Aerospace Logistics Technology Engineering Company)</t>
  </si>
  <si>
    <t>IT</t>
  </si>
  <si>
    <t>Thales</t>
  </si>
  <si>
    <t>Alter Technology TUV Nord France</t>
  </si>
  <si>
    <t>TUEV Nord AG</t>
  </si>
  <si>
    <t>Alter Technology TUV Nord SA</t>
  </si>
  <si>
    <t>Antwerp Space NV</t>
  </si>
  <si>
    <t>OHB SE</t>
  </si>
  <si>
    <t>ArianeGroup GMBH</t>
  </si>
  <si>
    <t>ArianeGroup Holding</t>
  </si>
  <si>
    <t>ArianeGroup SAS</t>
  </si>
  <si>
    <t>Arianespace</t>
  </si>
  <si>
    <t>Avio SPA</t>
  </si>
  <si>
    <t>Azur Space Solar Power GMBH</t>
  </si>
  <si>
    <t>5N Plus INC</t>
  </si>
  <si>
    <t>CA</t>
  </si>
  <si>
    <t>-</t>
  </si>
  <si>
    <t>n.a.</t>
  </si>
  <si>
    <t>Beyond Gravity Austria GMBH (RUAG Space GMBH)</t>
  </si>
  <si>
    <t>AT</t>
  </si>
  <si>
    <t>Schweizerische Eidgenossenschaft</t>
  </si>
  <si>
    <t>CH</t>
  </si>
  <si>
    <t>Beyond Gravity Sweden AB (RUAG Space AB)</t>
  </si>
  <si>
    <t>SE</t>
  </si>
  <si>
    <t>CGI Deutschland BV &amp; CO.KG</t>
  </si>
  <si>
    <t>CGI INC</t>
  </si>
  <si>
    <t>CS Group - Germany GMBH</t>
  </si>
  <si>
    <t>Sopra Steria Group SA</t>
  </si>
  <si>
    <t>CS Group - Romania SA</t>
  </si>
  <si>
    <t>RO</t>
  </si>
  <si>
    <t>CS Group France</t>
  </si>
  <si>
    <t>Dassault Aviation</t>
  </si>
  <si>
    <t>Rond Point Immobilier</t>
  </si>
  <si>
    <t>Deimos Engenharia</t>
  </si>
  <si>
    <t>PT</t>
  </si>
  <si>
    <t>Cantiles XXI SL</t>
  </si>
  <si>
    <t>Deimos Space Romania</t>
  </si>
  <si>
    <t>Deimos Space, Sociedad Limitada Unipersonal</t>
  </si>
  <si>
    <t>e-GEOS SPA</t>
  </si>
  <si>
    <t>Leonardo SPA</t>
  </si>
  <si>
    <t>Elecnor Infrastrutture e Aerospaziale</t>
  </si>
  <si>
    <t>Enpulsion GMBH</t>
  </si>
  <si>
    <t>mr Alexander Reissner</t>
  </si>
  <si>
    <t>GMV Aerospace &amp; Defence SA</t>
  </si>
  <si>
    <t>GMV Innovating Solutions SL</t>
  </si>
  <si>
    <t>GMV GMBH</t>
  </si>
  <si>
    <t>GMV Innovating Solutions BV</t>
  </si>
  <si>
    <t>GMV Innovating Solutions SARL</t>
  </si>
  <si>
    <t>GMV Innovating Solutions Sp.z o.o.</t>
  </si>
  <si>
    <t>PL</t>
  </si>
  <si>
    <t>GMV Innovating Solutions SRL</t>
  </si>
  <si>
    <t>GMV Innovating Solutions SRL (B)</t>
  </si>
  <si>
    <t>GMV Soluciones Globales Internet SA</t>
  </si>
  <si>
    <t>GMVIS Skysoft SA</t>
  </si>
  <si>
    <t>Indra Sistemas SA</t>
  </si>
  <si>
    <t>Loft Orbital Technologies</t>
  </si>
  <si>
    <t>mr Antoine Francois Benoit Bellon de Chassy</t>
  </si>
  <si>
    <t>MOLTEK</t>
  </si>
  <si>
    <t>MT Aerospace AG</t>
  </si>
  <si>
    <t>MT Aerospace Holding GMBH</t>
  </si>
  <si>
    <t>Neuraspace</t>
  </si>
  <si>
    <t>mr Paulo Jorge Pimenta Marqeus</t>
  </si>
  <si>
    <t>OHB Italia</t>
  </si>
  <si>
    <t>Familienpool Fuchs</t>
  </si>
  <si>
    <t>Pangea Aerospace</t>
  </si>
  <si>
    <t>RHEA Group Technologies</t>
  </si>
  <si>
    <t>ADGA RHEA Consultants SA</t>
  </si>
  <si>
    <t>LU</t>
  </si>
  <si>
    <t>SABCA</t>
  </si>
  <si>
    <t>BETRIX</t>
  </si>
  <si>
    <t>Safran Aero Boosters</t>
  </si>
  <si>
    <t>Safran</t>
  </si>
  <si>
    <t>Safran Aircraft Engines</t>
  </si>
  <si>
    <t>Safran Data Systems</t>
  </si>
  <si>
    <t>Safran Electrical &amp; Power</t>
  </si>
  <si>
    <t>Safran Electronics &amp; Defense</t>
  </si>
  <si>
    <t>Safran Engineering Services</t>
  </si>
  <si>
    <t>Safran Filtration Systems</t>
  </si>
  <si>
    <t>Safran REOSC</t>
  </si>
  <si>
    <t>Sener Grupo de Ingenieria SA</t>
  </si>
  <si>
    <t>Sitael SPA</t>
  </si>
  <si>
    <t>mr Vito Pertosa</t>
  </si>
  <si>
    <t>SpaceAble</t>
  </si>
  <si>
    <t>mr Julien Louis Andre Cantegreil</t>
  </si>
  <si>
    <t>ST Engineering iDirect Europe CY NV</t>
  </si>
  <si>
    <t>Tecnalia Research &amp; Innovation</t>
  </si>
  <si>
    <t>Telespazio Belgium SRL (Vitrociset)</t>
  </si>
  <si>
    <t>Telespazio Germany GMBH</t>
  </si>
  <si>
    <t>Telespazio SPA</t>
  </si>
  <si>
    <t>Terma A/S</t>
  </si>
  <si>
    <t>DK</t>
  </si>
  <si>
    <t>Thomas B. Thriges Fond Tuborg Nord</t>
  </si>
  <si>
    <t>TESAT Spacecom GMBH&amp;Co.KG</t>
  </si>
  <si>
    <t>Thales Alenia Space Belgium</t>
  </si>
  <si>
    <t>Thales Alenia Space Deutschland GMBH</t>
  </si>
  <si>
    <t>Thales Alenia Space Espana SA</t>
  </si>
  <si>
    <t>Thales Alenia Space France</t>
  </si>
  <si>
    <t>Thales Alenia Space Italia SPA</t>
  </si>
  <si>
    <t>Thales Alenia Space Luxembourg</t>
  </si>
  <si>
    <t>Thales Alenia Space Polska</t>
  </si>
  <si>
    <t>TNO Tech Transfer Holding BV</t>
  </si>
  <si>
    <t>Nederlands Organisatie voor Toegepast-Natuurwetenschappelijk Onderzoek TNO</t>
  </si>
  <si>
    <t>845,2 (2009)</t>
  </si>
  <si>
    <t>TTTech Computertechnik AG</t>
  </si>
  <si>
    <t>Total</t>
  </si>
  <si>
    <t>Direct</t>
  </si>
  <si>
    <t>Indirect</t>
  </si>
  <si>
    <t>Total revenue</t>
  </si>
  <si>
    <t>Total weighted direct/indirect industry non-EU ownership</t>
  </si>
  <si>
    <t>Share of non-EU direct and indirect ownership in industry</t>
  </si>
  <si>
    <t>US</t>
  </si>
  <si>
    <t>UK</t>
  </si>
  <si>
    <t>NO</t>
  </si>
  <si>
    <t>Institution</t>
  </si>
  <si>
    <t>Type</t>
  </si>
  <si>
    <t>Direct ownership</t>
  </si>
  <si>
    <t>Indirect ownership</t>
  </si>
  <si>
    <t>ArianeGroup Holding (owner of Eurockot/ArianeGroup SAS/ArianeGroup GMBH/Arianespace)</t>
  </si>
  <si>
    <t>Airbus Defence &amp; Space Holding France SAS</t>
  </si>
  <si>
    <t>C</t>
  </si>
  <si>
    <t>Agence des Participations de l'Etat</t>
  </si>
  <si>
    <t>S</t>
  </si>
  <si>
    <t>Personnel de Safran</t>
  </si>
  <si>
    <t>M</t>
  </si>
  <si>
    <t>Safran Investissements</t>
  </si>
  <si>
    <t>F</t>
  </si>
  <si>
    <t>Actionnaires Individuels</t>
  </si>
  <si>
    <t>D</t>
  </si>
  <si>
    <t>The Children's Investment Master Fund</t>
  </si>
  <si>
    <t>KY</t>
  </si>
  <si>
    <t>E</t>
  </si>
  <si>
    <t>FCPE Safran Investissement</t>
  </si>
  <si>
    <t>TCI Fund Management UK Limited</t>
  </si>
  <si>
    <t>HSBC Holdings PLC</t>
  </si>
  <si>
    <t>B</t>
  </si>
  <si>
    <t>CNP Assurances</t>
  </si>
  <si>
    <t>A</t>
  </si>
  <si>
    <t>FCPE Avenir Safran</t>
  </si>
  <si>
    <t>Harris Associates LP</t>
  </si>
  <si>
    <t>Egerton Capital UK LLP</t>
  </si>
  <si>
    <t>Tweedy Browne Co LLC</t>
  </si>
  <si>
    <t>Meritage Investment Partners LLC</t>
  </si>
  <si>
    <t>Wellington Management Company LLP</t>
  </si>
  <si>
    <t>Amundi Asset Management</t>
  </si>
  <si>
    <t>Lone Pine Capital LLC</t>
  </si>
  <si>
    <t>Y</t>
  </si>
  <si>
    <t>Viking Global Investors LP</t>
  </si>
  <si>
    <t>P</t>
  </si>
  <si>
    <t>Peugeot 1810</t>
  </si>
  <si>
    <t>Fonds Strategique de Participations</t>
  </si>
  <si>
    <t>PSA ID</t>
  </si>
  <si>
    <t>Self Owned</t>
  </si>
  <si>
    <t>H</t>
  </si>
  <si>
    <t>Bridgewater Associates LP</t>
  </si>
  <si>
    <t>Banque Fédérative du Crédit Mutuel</t>
  </si>
  <si>
    <t>Salaries</t>
  </si>
  <si>
    <t>Talos Capital Designated Activity Company</t>
  </si>
  <si>
    <t>IE</t>
  </si>
  <si>
    <t>CIFF Capital UK LP</t>
  </si>
  <si>
    <t>Peugeot Invest Assets</t>
  </si>
  <si>
    <t>Canada</t>
  </si>
  <si>
    <t>Switzerland</t>
  </si>
  <si>
    <t>Norway</t>
  </si>
  <si>
    <t>Non-EU ownership</t>
  </si>
  <si>
    <t>Enpulsion gmbh</t>
  </si>
  <si>
    <t>I</t>
  </si>
  <si>
    <t>STI Space Technology Investment gmbh</t>
  </si>
  <si>
    <t>ASP Holding gmbh</t>
  </si>
  <si>
    <t>Tenere Invest AG</t>
  </si>
  <si>
    <t>LI</t>
  </si>
  <si>
    <t>ASP Consulting Gesellschaft M.B.H.</t>
  </si>
  <si>
    <t>AMR Invest gmbh &amp; CO KG</t>
  </si>
  <si>
    <t>mr Alenxander Reissner</t>
  </si>
  <si>
    <t>mr Torsten Vogel</t>
  </si>
  <si>
    <t>Fotec Forschungs- &amp; Technologietransfer gmbh</t>
  </si>
  <si>
    <t>Fachhochschule Wiener Neustadt gmbh</t>
  </si>
  <si>
    <t>mr David Krejci</t>
  </si>
  <si>
    <t>Airbus SE (owner of Jena-Optronik/Airbus Defence &amp; Space GMBH/Airbus Defence &amp; Space SA/Airbus Defence &amp; Space SAS/Airbus Netherlands BV/TESAT Spacecom GMBH &amp; CO.KG)</t>
  </si>
  <si>
    <t>SOGEPA</t>
  </si>
  <si>
    <t>Gesellschaft zur Beteiligungsverwaltung GZBV MBH &amp; CO.KG</t>
  </si>
  <si>
    <t>KFW Bankengruppe</t>
  </si>
  <si>
    <t>Galintis GMBH &amp; CO.KG</t>
  </si>
  <si>
    <t>Sociedad Estatal de Participaciones Industriales</t>
  </si>
  <si>
    <t>Subsecretaria Caja Pagadora Alcala</t>
  </si>
  <si>
    <t>Blackrock INC</t>
  </si>
  <si>
    <t>TCI Fund Management LTD</t>
  </si>
  <si>
    <t>Europacific Growth Fund</t>
  </si>
  <si>
    <t>Goldman Sachs Group INC</t>
  </si>
  <si>
    <t>Self owned</t>
  </si>
  <si>
    <t>Torreal Sociedad de Capital Riesgo SA</t>
  </si>
  <si>
    <t>Torreal SA</t>
  </si>
  <si>
    <t>Nueva Compania de Inversiones SA</t>
  </si>
  <si>
    <t>Miralver SPI SL</t>
  </si>
  <si>
    <t>non-EU ownership</t>
  </si>
  <si>
    <t>OHB SE (owner of OHB Italia SPA)</t>
  </si>
  <si>
    <t>mr Mayrhofer Romana Fuchs</t>
  </si>
  <si>
    <t>mr Luca Raffaele Rodolfo Nicola Pesarini (via its funds)</t>
  </si>
  <si>
    <t>Dimensional Holdings INC. (via its funds)</t>
  </si>
  <si>
    <t>Devon Equity Management Limited (via its funds)</t>
  </si>
  <si>
    <t>Praude Asset Management Limited (via its funds)</t>
  </si>
  <si>
    <t>ML</t>
  </si>
  <si>
    <t>Investor AM (via its funds)</t>
  </si>
  <si>
    <t>Accor (via its funds)</t>
  </si>
  <si>
    <t>Allianz SE (via its funds)</t>
  </si>
  <si>
    <t>Mandarine Gestion (via its funds)</t>
  </si>
  <si>
    <t>Grossbotzl, Schmitz &amp; Partner Vermogensverwaltersozietat (via its funds)</t>
  </si>
  <si>
    <t>ABRDN PLC (via its funds)</t>
  </si>
  <si>
    <t>BlackRock INC (via its funds)</t>
  </si>
  <si>
    <t>DJE Kapital AG (via its funds)</t>
  </si>
  <si>
    <t>Ehrke &amp; Lubberstedt AG (via its funds)</t>
  </si>
  <si>
    <t>Hoevelrat Holding AG (via its funds)</t>
  </si>
  <si>
    <t>Thales (owner of Thales Alenia Space France/Thales Alenia Space Italia/Thales Alenia Space Espana/Thales Alenia Space Belgium/ALTEC)</t>
  </si>
  <si>
    <t>TSA</t>
  </si>
  <si>
    <t>Epic BpiFrance</t>
  </si>
  <si>
    <t>Groupe Industriel Marcel Dassault</t>
  </si>
  <si>
    <t>Public</t>
  </si>
  <si>
    <t>Z</t>
  </si>
  <si>
    <t>Personnel de Thales</t>
  </si>
  <si>
    <t>The Capital Group Companies INC. (via its funds)</t>
  </si>
  <si>
    <t>BlackRock INC. (via its funds)</t>
  </si>
  <si>
    <t>BPCE SA (via its funds)</t>
  </si>
  <si>
    <t>Government of Norway (via its funds)</t>
  </si>
  <si>
    <t>Vanguard Group INC. (via its funds)</t>
  </si>
  <si>
    <t>GQG Partners LP (via its funds)</t>
  </si>
  <si>
    <t>SAS Rue La Boetie (via its funds)</t>
  </si>
  <si>
    <t>Franklin Resources INC. (via its funds)</t>
  </si>
  <si>
    <t>Wellington Management Group LLP (via its funds)</t>
  </si>
  <si>
    <t>Province of Quebec (via its funds)</t>
  </si>
  <si>
    <t>Mawer Investment Management (via its funds)</t>
  </si>
  <si>
    <t>AEMA Groupe (via its funds)</t>
  </si>
  <si>
    <t>Sun Life Financial INC. (via its funds)</t>
  </si>
  <si>
    <t>T. Rowe Price Group INC (via its funds)</t>
  </si>
  <si>
    <t>AJM Ventures LLC (via its funds)</t>
  </si>
  <si>
    <t>Lazard Limited (via its funds)</t>
  </si>
  <si>
    <t>BM</t>
  </si>
  <si>
    <t>Invesco LTD (via its funds)</t>
  </si>
  <si>
    <t>Deutscher Sparkassen &amp; Giroverband E.V. (DSGV) (via its funds)</t>
  </si>
  <si>
    <t>Select Equity Partners (via its funds)</t>
  </si>
  <si>
    <t>ARGA Investment Management Limited Partnership (via its funds)</t>
  </si>
  <si>
    <t>Geode Holdings Trust (via its funds)</t>
  </si>
  <si>
    <t>HSBC Holdings PLC (via its funds)</t>
  </si>
  <si>
    <t>La Poste (via its funds)</t>
  </si>
  <si>
    <t>JPMorgan Chase &amp; Co (via its funds)</t>
  </si>
  <si>
    <t>Goldman Sachs Group Inc.</t>
  </si>
  <si>
    <t>Edmond De Rthschild S.A.</t>
  </si>
  <si>
    <t xml:space="preserve">American Century CO Inc. </t>
  </si>
  <si>
    <t xml:space="preserve">Power Corporation of Cananda </t>
  </si>
  <si>
    <t>S.W. Mitchell Capital LLP</t>
  </si>
  <si>
    <t xml:space="preserve">SGAM AG2R La Mondiale </t>
  </si>
  <si>
    <t>Bank of Nova Scotia - Scotiabank</t>
  </si>
  <si>
    <t>Intesa Sanpaolo</t>
  </si>
  <si>
    <t xml:space="preserve">State Street Corporation </t>
  </si>
  <si>
    <t>Dimensional Holdings Inc.</t>
  </si>
  <si>
    <t>State of Florida Governors Office</t>
  </si>
  <si>
    <t>WBC Holdings LP</t>
  </si>
  <si>
    <t>Anima Holding S.P.A.</t>
  </si>
  <si>
    <t>Julius Baer Gruppe AG</t>
  </si>
  <si>
    <t xml:space="preserve">Macquarie Group LTD </t>
  </si>
  <si>
    <t>AU</t>
  </si>
  <si>
    <t>TIAA Board of Governors</t>
  </si>
  <si>
    <t>UBS Group AG</t>
  </si>
  <si>
    <t xml:space="preserve">Charles Schwab Corporation </t>
  </si>
  <si>
    <t>Deutsche Bank AG</t>
  </si>
  <si>
    <t>Liontrust Asset Management PLC</t>
  </si>
  <si>
    <t xml:space="preserve">Bank of New York Mellon Corporation </t>
  </si>
  <si>
    <t>Covea</t>
  </si>
  <si>
    <t>Morgan Stanley</t>
  </si>
  <si>
    <t xml:space="preserve">L'AIR LIQUIDE SOCIETE ANONYME POUR L'ETUDE ET L'EXPLOITATION DES PROCEDES GEORGES CLAUDE (owner of Air Liquide Advanced Technologies/Air Liquide France Industry) </t>
  </si>
  <si>
    <t>Foreign institutions</t>
  </si>
  <si>
    <t>L</t>
  </si>
  <si>
    <t>Individual shareholders</t>
  </si>
  <si>
    <t>French institutions</t>
  </si>
  <si>
    <t>BlackRock Inc.</t>
  </si>
  <si>
    <t>Vanguard Group Inc</t>
  </si>
  <si>
    <t>Kuwait Investment Authority</t>
  </si>
  <si>
    <t>KW</t>
  </si>
  <si>
    <t>Capital World Investors</t>
  </si>
  <si>
    <t>Personnel</t>
  </si>
  <si>
    <t>Vanguard Group Inc.</t>
  </si>
  <si>
    <t>Government of Norway</t>
  </si>
  <si>
    <t xml:space="preserve">SAS Rue La Boetie </t>
  </si>
  <si>
    <t>Sun Life Financial Inc.</t>
  </si>
  <si>
    <t>FMR LLC</t>
  </si>
  <si>
    <t>BPCE SA</t>
  </si>
  <si>
    <t>Nordea Bank ABP</t>
  </si>
  <si>
    <t>FI</t>
  </si>
  <si>
    <t xml:space="preserve">BNP Parisbas </t>
  </si>
  <si>
    <t>The Capital Group Companies Inc.</t>
  </si>
  <si>
    <t>Geode Holdings Trust</t>
  </si>
  <si>
    <t xml:space="preserve">JPMorgan Chase &amp; Co </t>
  </si>
  <si>
    <t xml:space="preserve">AEMA Groupe </t>
  </si>
  <si>
    <t>DZ Bank AG Deutsche Zentralgenossenschaftsbank Frankfurt Am Main</t>
  </si>
  <si>
    <t>Deutsche Sparkassen- und Giroverband EV</t>
  </si>
  <si>
    <t>Accor</t>
  </si>
  <si>
    <t>Bank of New York Mellon Corporation</t>
  </si>
  <si>
    <t>Causeway Capital Holdings LLC</t>
  </si>
  <si>
    <t>Artisan Partners Asset Management Inc.</t>
  </si>
  <si>
    <t>Impax Asset Management Group PLC</t>
  </si>
  <si>
    <t xml:space="preserve">TIAA Board of Governors </t>
  </si>
  <si>
    <t>Fidelity International Limited</t>
  </si>
  <si>
    <t>Bermuda</t>
  </si>
  <si>
    <t>Allianz SE</t>
  </si>
  <si>
    <t>Charles Schwab Corporation</t>
  </si>
  <si>
    <t xml:space="preserve">New York Life Insurance Co. </t>
  </si>
  <si>
    <t>T. Rowe Price Group</t>
  </si>
  <si>
    <t>Affiliated Managers Group Inc.</t>
  </si>
  <si>
    <t xml:space="preserve">Mawer Investment Management </t>
  </si>
  <si>
    <t>Power Corporation of Canada</t>
  </si>
  <si>
    <t>Vontobel Holding AG</t>
  </si>
  <si>
    <t>ABRDN PLC</t>
  </si>
  <si>
    <t>Ameriprise Financial Inc.</t>
  </si>
  <si>
    <t xml:space="preserve">Lazard Limited </t>
  </si>
  <si>
    <t>Credit Suisse Group AG</t>
  </si>
  <si>
    <t>Perpetual Limited</t>
  </si>
  <si>
    <t>Regeringskansliet</t>
  </si>
  <si>
    <t>TUEV Nord AG (owner of Alter Technology TUV Nord SA/Alter Technology TUV Nord France/Alter Technology Ventures SL)</t>
  </si>
  <si>
    <t>RWTÜV gmbh</t>
  </si>
  <si>
    <t>AKTAIOS Verwaltungs- GMBH</t>
  </si>
  <si>
    <t>TUEV Nord Holding gmbh &amp; Co.KG</t>
  </si>
  <si>
    <t>Technischer Uberwachungs- Verein Nord EV</t>
  </si>
  <si>
    <t>TUEV HSA Holding gmbh &amp; Co.KG</t>
  </si>
  <si>
    <t>Technischer Uberwachungs- Verein Hannover/Sachsen-Anhalt EV</t>
  </si>
  <si>
    <t>Ministero Del Tesoro IGED</t>
  </si>
  <si>
    <t>Deutsche Bank Trust Company Americasa</t>
  </si>
  <si>
    <t>Norges Bank</t>
  </si>
  <si>
    <t>Banca D'Italia</t>
  </si>
  <si>
    <t>Millenium Management LP</t>
  </si>
  <si>
    <t>Marshall Wace LLP</t>
  </si>
  <si>
    <t>Blackrock Investment Management UK Limited</t>
  </si>
  <si>
    <t>Citadel Advisors LLC</t>
  </si>
  <si>
    <t>Sandbar Asset Management LLP</t>
  </si>
  <si>
    <t>Citadel Advisors Europe Limited</t>
  </si>
  <si>
    <t>Capital Fund Management</t>
  </si>
  <si>
    <t>AQR Capital Management LLC</t>
  </si>
  <si>
    <t>Albar Capital Limited</t>
  </si>
  <si>
    <t>Servizi CGN SRL Societa Benefit</t>
  </si>
  <si>
    <t>mr Riccardo Broggian</t>
  </si>
  <si>
    <t>mrs Valeria Broggian</t>
  </si>
  <si>
    <t>mr Giancarlo Broggian</t>
  </si>
  <si>
    <t>Cobas Asset Management SGIIC SA</t>
  </si>
  <si>
    <t>Santa Comba Gestion SL</t>
  </si>
  <si>
    <t>Space Holding SRL</t>
  </si>
  <si>
    <t>CLT Invest SRL</t>
  </si>
  <si>
    <t>EMAS Holding SRL</t>
  </si>
  <si>
    <t>Penteco SPA</t>
  </si>
  <si>
    <t>Red Black Capital SA</t>
  </si>
  <si>
    <t>mr Alfredo Ambrosio</t>
  </si>
  <si>
    <t>mrs Laura Selvi</t>
  </si>
  <si>
    <t>In Orbit SPA</t>
  </si>
  <si>
    <t>Indiviual shareholders</t>
  </si>
  <si>
    <t>Delfin SA RL</t>
  </si>
  <si>
    <t>CDV Holdings LLC</t>
  </si>
  <si>
    <t>BPER Banca SPA</t>
  </si>
  <si>
    <t>SAS Rue La Boetie</t>
  </si>
  <si>
    <t>Banca Mediolanum SPA</t>
  </si>
  <si>
    <t>Teton Advisors Inc.</t>
  </si>
  <si>
    <t>Praude Asset Management Limited</t>
  </si>
  <si>
    <t>Malta</t>
  </si>
  <si>
    <t>Banca Investis SPA</t>
  </si>
  <si>
    <t>Azimut Holding SPA</t>
  </si>
  <si>
    <t>Acomea Societa Di Gestione Del Risparmio SPA</t>
  </si>
  <si>
    <t>Goldman Sachs Group</t>
  </si>
  <si>
    <t>Gamco Investors Inc.</t>
  </si>
  <si>
    <t>Azur Space Solar Power gmbh</t>
  </si>
  <si>
    <t>5N Plus Inc.</t>
  </si>
  <si>
    <t>Familie Dassault</t>
  </si>
  <si>
    <t>Self-owned</t>
  </si>
  <si>
    <t>T. Rowe Price Group Inc.</t>
  </si>
  <si>
    <t>Franklin Resources Inc.</t>
  </si>
  <si>
    <t>McKincley Management Inc.</t>
  </si>
  <si>
    <t xml:space="preserve">FMR LLC </t>
  </si>
  <si>
    <t>Fellbarn Limited</t>
  </si>
  <si>
    <t>Wellington Management Group LLP</t>
  </si>
  <si>
    <t>Atlantic Value Investment Partnership LP</t>
  </si>
  <si>
    <t xml:space="preserve">Nordea Bank ABP </t>
  </si>
  <si>
    <t>Molinos Capital LTD</t>
  </si>
  <si>
    <t>British Virgin Islands</t>
  </si>
  <si>
    <t xml:space="preserve">Perpetual Limited </t>
  </si>
  <si>
    <t>Russel Investment Management LLC</t>
  </si>
  <si>
    <t>Cantiles XXI SL (owner of Deimos Space)</t>
  </si>
  <si>
    <t>Juver XXI SL</t>
  </si>
  <si>
    <t>mr Fernanco Leon Domecq</t>
  </si>
  <si>
    <t>Aluga SL</t>
  </si>
  <si>
    <t>mr Cristobal Gonzalez Aguilar Enrile</t>
  </si>
  <si>
    <t>Onchena SL</t>
  </si>
  <si>
    <t>ms Carmen Ybarra Careaga</t>
  </si>
  <si>
    <t>Fundacion Adey</t>
  </si>
  <si>
    <t>J</t>
  </si>
  <si>
    <t>GMV Innovating Solutions SL (owner of GMV Aerospace &amp; Defence)</t>
  </si>
  <si>
    <t>Grupo Tecnologico e Industrial GMV SA</t>
  </si>
  <si>
    <t>dr Carmen Monica Martinez-Walter</t>
  </si>
  <si>
    <t>Martinez Walter Pilar Susana</t>
  </si>
  <si>
    <t>Schwarzsee 2018 SL</t>
  </si>
  <si>
    <t>Amber Capital Management ICAV</t>
  </si>
  <si>
    <t xml:space="preserve">Amber Capital Management LP </t>
  </si>
  <si>
    <t>mr Joseph Oughourlian</t>
  </si>
  <si>
    <t>SAPA Placencia Holding SL</t>
  </si>
  <si>
    <t>SAPA Placencia SL</t>
  </si>
  <si>
    <t>Fidelity Management &amp; Research Co LLC</t>
  </si>
  <si>
    <t>Fidelity Puritan Trust</t>
  </si>
  <si>
    <t>Pandanus Partners LP</t>
  </si>
  <si>
    <t>Amber Global Opportunities Fund</t>
  </si>
  <si>
    <t>Banca March SA</t>
  </si>
  <si>
    <t>M B de Inversiones SA</t>
  </si>
  <si>
    <t>Fundacion Instituto Juan March de Estudio e Investigaciones</t>
  </si>
  <si>
    <t>Cibernetica e Informatica SA</t>
  </si>
  <si>
    <t>Atacampa SA</t>
  </si>
  <si>
    <t>Epyr SA</t>
  </si>
  <si>
    <t>Pena Ta Jada SL</t>
  </si>
  <si>
    <t>Son Daviu SL</t>
  </si>
  <si>
    <t>Surisla SA</t>
  </si>
  <si>
    <t>Fundaction Juan March</t>
  </si>
  <si>
    <t>Agropecuaria el Aguila SA</t>
  </si>
  <si>
    <t>Corporacion Financiera Alba SA</t>
  </si>
  <si>
    <t>T.Rowe Price Group INC</t>
  </si>
  <si>
    <t>T Rowe &amp; Price Global Technology Fund INC</t>
  </si>
  <si>
    <t>T Rowe &amp; Price International LTD</t>
  </si>
  <si>
    <t>Escribano Mechanical and Egineering SL</t>
  </si>
  <si>
    <t>Advanced Engineering and Manufacturing SL</t>
  </si>
  <si>
    <t>Schroder International Selection Fund</t>
  </si>
  <si>
    <t>T.Rowe Price International LTD</t>
  </si>
  <si>
    <t>DNCA Finance</t>
  </si>
  <si>
    <t>Natxis Investment Managers Participation 3</t>
  </si>
  <si>
    <t>Centilux</t>
  </si>
  <si>
    <t>Societé des Cadres DNCA</t>
  </si>
  <si>
    <t>FIL Investments International</t>
  </si>
  <si>
    <t>FIL Distributors International Limited</t>
  </si>
  <si>
    <t>Vanguard Group INC</t>
  </si>
  <si>
    <t>Banco Santander SA</t>
  </si>
  <si>
    <t>Caixabank SA</t>
  </si>
  <si>
    <t>Fidelity Management Trust Company</t>
  </si>
  <si>
    <t>JPMorgan Chase &amp; Co</t>
  </si>
  <si>
    <t>VG</t>
  </si>
  <si>
    <t>American Century Co INC</t>
  </si>
  <si>
    <t>Voleon Capital Holdings PLC</t>
  </si>
  <si>
    <t>Polar Capital Holdings PLC</t>
  </si>
  <si>
    <t>FIAM LLC</t>
  </si>
  <si>
    <t>Anima Holdings SPA</t>
  </si>
  <si>
    <t>Société Mutuelle d'Assurances sur La Vie du Batiment et des Travaux Public</t>
  </si>
  <si>
    <t>Goldman Sach Group Inc.</t>
  </si>
  <si>
    <t>Muza Gestion de Activos, Sociedad Gestora de Instituciones de Inversion Colectiva SA</t>
  </si>
  <si>
    <t>State Street Corporation</t>
  </si>
  <si>
    <t>Somers Limited</t>
  </si>
  <si>
    <t>Banco Bilbao Vizcaya Argentaria SA</t>
  </si>
  <si>
    <t>State Street Global Advisors Trust Company</t>
  </si>
  <si>
    <t>State Street Bank and Trust Company</t>
  </si>
  <si>
    <t>Kirao</t>
  </si>
  <si>
    <t>Phileas Asset Manangement</t>
  </si>
  <si>
    <t>Pascal Investment Advisers SA</t>
  </si>
  <si>
    <t>Abante Asesores SA</t>
  </si>
  <si>
    <t>CI Financial Corp</t>
  </si>
  <si>
    <t>Mediobanca Banca di Credito Finanziario Societa er Azioni</t>
  </si>
  <si>
    <t>SSGA Funds Management</t>
  </si>
  <si>
    <t>Driehaus Capital Holdings LLP</t>
  </si>
  <si>
    <t>Value Square</t>
  </si>
  <si>
    <t>M&amp;G PLC</t>
  </si>
  <si>
    <t>Singular Bank SA</t>
  </si>
  <si>
    <t>Mutua Madrilena Automovilista Sociedad de Seguros a Prima Fija</t>
  </si>
  <si>
    <t>Renta 4 Banco SA</t>
  </si>
  <si>
    <t>Goldman Sachs International</t>
  </si>
  <si>
    <t>Fidelity Investment Canada ULC</t>
  </si>
  <si>
    <t>State Street Global Advisors Limited</t>
  </si>
  <si>
    <t>Fidelity Institutional Asset Management Trust Co</t>
  </si>
  <si>
    <t>State Street Global Advisors Switzerland Holdings GMBH</t>
  </si>
  <si>
    <t>Fil Investments Advisors UK Limited</t>
  </si>
  <si>
    <t>Sener Grupo De Ingenieria SA</t>
  </si>
  <si>
    <t>FSC Ingeniera y Tecnologia SL</t>
  </si>
  <si>
    <t>Angelo Holding SRL</t>
  </si>
  <si>
    <t>mrs Chiara Pertosa</t>
  </si>
  <si>
    <t>Leonardo SPA (owner of Telespazio Germany GMBH/Telespazio SPA)</t>
  </si>
  <si>
    <t>Ministero del Tesoro IGED</t>
  </si>
  <si>
    <t>Republica Italiana</t>
  </si>
  <si>
    <t>Deutsche Bank Trust Company Americas</t>
  </si>
  <si>
    <t>Deutsche Bank Trust Corporation</t>
  </si>
  <si>
    <t>Dimensional Holdings INC</t>
  </si>
  <si>
    <t>Blackrock Bank</t>
  </si>
  <si>
    <t>Millennium Management LP</t>
  </si>
  <si>
    <t>MLM Trust B LLC</t>
  </si>
  <si>
    <t>mr Israel Alexander Englander</t>
  </si>
  <si>
    <t>Marshall Wace Asset Management Limited</t>
  </si>
  <si>
    <t>Citadel Advisors Holdings LP</t>
  </si>
  <si>
    <t>Citadel Americas LLC</t>
  </si>
  <si>
    <t>mr Marc Potters</t>
  </si>
  <si>
    <t>Ngistrategic Australia PTY Limited</t>
  </si>
  <si>
    <t>AQR Capital Management Holdings LLC</t>
  </si>
  <si>
    <t>Egerton Capital Limited</t>
  </si>
  <si>
    <t>Albar Capital LLC</t>
  </si>
  <si>
    <t>SEI Investments Company</t>
  </si>
  <si>
    <t>AEMA Groupe</t>
  </si>
  <si>
    <t>Assicurazioni Generali SPA</t>
  </si>
  <si>
    <t>PEV Trust</t>
  </si>
  <si>
    <t>Victory Capital Holdings INC</t>
  </si>
  <si>
    <t>Prudential Financial INC</t>
  </si>
  <si>
    <t>Bessemer Group Incorporated</t>
  </si>
  <si>
    <t>Grantham, Mayo, Van Otterloo &amp; CO, LLC</t>
  </si>
  <si>
    <t>Banque Pictet &amp; CIE SA</t>
  </si>
  <si>
    <t>AQR Capital Management Group LP</t>
  </si>
  <si>
    <t>Acomea Societa di Gestione del Risparmio SPA</t>
  </si>
  <si>
    <t xml:space="preserve">BNP Paribas </t>
  </si>
  <si>
    <t xml:space="preserve">B </t>
  </si>
  <si>
    <t>Jupiter Fund Management PLC</t>
  </si>
  <si>
    <t>Thrige Holding A/S</t>
  </si>
  <si>
    <t>HP Wild Holding AG</t>
  </si>
  <si>
    <t>mr Hans-Peter Wild</t>
  </si>
  <si>
    <t>mr Hermann Kopetz</t>
  </si>
  <si>
    <t>B&amp;C Innovation Investments GMBH</t>
  </si>
  <si>
    <t>B&amp;C Holding Osterreich GMBH</t>
  </si>
  <si>
    <t>Holster Privatistiftung</t>
  </si>
  <si>
    <t>mr Stefan Poledna</t>
  </si>
  <si>
    <t>mr Georg Kopetz</t>
  </si>
  <si>
    <t>B&amp;C Privatstiftung</t>
  </si>
  <si>
    <t>Co-investor TTT GMBH &amp; CO.KG</t>
  </si>
  <si>
    <t>Individual Shareholders</t>
  </si>
  <si>
    <t>COI Partners Deutschland GMBH</t>
  </si>
  <si>
    <t>Planalto SA</t>
  </si>
  <si>
    <t>VE Caplnvest GMBH</t>
  </si>
  <si>
    <t>Actita GMBH</t>
  </si>
  <si>
    <t>Bothe Vermogensverwaltungsgesellschaft</t>
  </si>
  <si>
    <t>Dritte Park Side Invest UG</t>
  </si>
  <si>
    <t>Familie Roland Lacher Vermogensverwaltung GMBH</t>
  </si>
  <si>
    <t>Solitaire GMBH &amp; CO.KG</t>
  </si>
  <si>
    <t>Tiven GMBH</t>
  </si>
  <si>
    <t>Endriss Beteiligungs GMBH</t>
  </si>
  <si>
    <t>dr. Yu Beratung und Beteiligung GMBH</t>
  </si>
  <si>
    <t>TSL Beratungs- und Beteiligungsgesellschaft GMBH</t>
  </si>
  <si>
    <t>ZEUS GMBH &amp; CO.KG</t>
  </si>
  <si>
    <t>Co-Investor Initiatoren GMBH &amp; CO.KG</t>
  </si>
  <si>
    <t>Beyond Gravity Finland OY (RUAG Space Finland OY AB)</t>
  </si>
  <si>
    <t>Beyond Gravity Holding Sweden AB</t>
  </si>
  <si>
    <t>RUAG International Holding AG</t>
  </si>
  <si>
    <t>Beyond Gravity Sweden AB</t>
  </si>
  <si>
    <t>ORIZIO</t>
  </si>
  <si>
    <t>Sabena Aerospace</t>
  </si>
  <si>
    <t>Société Fédérale de Participations et d'Investissement SA/NV</t>
  </si>
  <si>
    <t>SAFRAN (owner of SAFRAN Aircraft Engines)</t>
  </si>
  <si>
    <t>Government of France</t>
  </si>
  <si>
    <t>Personnel de SAFRAN</t>
  </si>
  <si>
    <t>Natixis Investment Managers International</t>
  </si>
  <si>
    <t>SAFRAN Investissement</t>
  </si>
  <si>
    <t>The Capital Group Companies INC</t>
  </si>
  <si>
    <t>TCI Fund Management Limited</t>
  </si>
  <si>
    <t>FCPE SAFRAN Investissement</t>
  </si>
  <si>
    <t>The Children's Investment Fund Management LTD</t>
  </si>
  <si>
    <t>TCI Fund Holdings Limited</t>
  </si>
  <si>
    <t>Ping AN Asset Management CO LTD</t>
  </si>
  <si>
    <t>CN</t>
  </si>
  <si>
    <t>Blackrock Fund Advisors</t>
  </si>
  <si>
    <t>Blackrock Fund Managers Limited</t>
  </si>
  <si>
    <t>Blackrock Institutional Trust Company National Association</t>
  </si>
  <si>
    <t>Blackrock Asset Management Ireland Limiteda</t>
  </si>
  <si>
    <t>Blackrock Investment Management LLC</t>
  </si>
  <si>
    <t>Blackrock Advisors UK Limited</t>
  </si>
  <si>
    <t>Ishares i Investmentaktiengesellschaft mit Teilgesellschafsvermogen</t>
  </si>
  <si>
    <t>Blackrock Life LTD</t>
  </si>
  <si>
    <t>Blackrock Netherlands BV</t>
  </si>
  <si>
    <t>Blackrock Asset Management North Asia Limited</t>
  </si>
  <si>
    <t>HK</t>
  </si>
  <si>
    <t>Blackrock Japan CO LTD</t>
  </si>
  <si>
    <t>JP</t>
  </si>
  <si>
    <t>Blackrock Asset Management Canada Limited/ Gestion d'Actifs BLK</t>
  </si>
  <si>
    <t>Blackrock Asset Management Deutschland AG</t>
  </si>
  <si>
    <t>Blackrock Investment Management Australia</t>
  </si>
  <si>
    <t>Blackrock Advisors LLC</t>
  </si>
  <si>
    <t>Aperio Group LLC</t>
  </si>
  <si>
    <t>Blackrock Luxembourg SA</t>
  </si>
  <si>
    <t>Blackrock Financial Management INC</t>
  </si>
  <si>
    <t>La Banque Postale</t>
  </si>
  <si>
    <t>FCPE Avenir SAFRAN</t>
  </si>
  <si>
    <t>Natixis Global Associates LLC</t>
  </si>
  <si>
    <t>Harris Associates INC</t>
  </si>
  <si>
    <t>Tweedy Browne CO LLC</t>
  </si>
  <si>
    <t>AMG TBC LLC</t>
  </si>
  <si>
    <t>Spears John Douglas</t>
  </si>
  <si>
    <t>Artisan Partners Asset Management INC</t>
  </si>
  <si>
    <t>Affiliated Managers Group INC</t>
  </si>
  <si>
    <t>Wellington Investment Advisors Holdings LLP</t>
  </si>
  <si>
    <t>Amundi SA</t>
  </si>
  <si>
    <t>ASR Nederland NV</t>
  </si>
  <si>
    <t>ING Groep NV</t>
  </si>
  <si>
    <t>mr David Christopher OTT</t>
  </si>
  <si>
    <t>mr Ole Andreas Halvorsen</t>
  </si>
  <si>
    <t>Province of Ontario</t>
  </si>
  <si>
    <t>Peugeot Invest SA</t>
  </si>
  <si>
    <t>Etablissements Peugeot Freres</t>
  </si>
  <si>
    <t>BCPE Vie</t>
  </si>
  <si>
    <t>Cardif Assurance Vie</t>
  </si>
  <si>
    <t xml:space="preserve">CNP Assurances </t>
  </si>
  <si>
    <t>Groupama Holding Filiales et Participations</t>
  </si>
  <si>
    <t>Predica Prévoyance Dialogue du crédit agricole</t>
  </si>
  <si>
    <t>Sogecap</t>
  </si>
  <si>
    <t>Suravenir</t>
  </si>
  <si>
    <t>PSA Automobiles SA</t>
  </si>
  <si>
    <t>Select Equity Partners LP</t>
  </si>
  <si>
    <t>mr Panayotis d Spraraggis</t>
  </si>
  <si>
    <t>GR</t>
  </si>
  <si>
    <t>T. Rowe Price Group INC</t>
  </si>
  <si>
    <t>JPMorgan Chase &amp; CO</t>
  </si>
  <si>
    <t>Bridgewater Associates Intermediate Holdings LP</t>
  </si>
  <si>
    <t>Trustco LLC</t>
  </si>
  <si>
    <t>Grantham, Mayo, Van Otterloo &amp; CO,LLC</t>
  </si>
  <si>
    <t>Janus Henderson Group PLC</t>
  </si>
  <si>
    <t>Sun Life Financial INC</t>
  </si>
  <si>
    <t>Brown Advisory Management LLC</t>
  </si>
  <si>
    <t>Fiduciary Management INC</t>
  </si>
  <si>
    <t>Caisse Federale de Credit Mutuel</t>
  </si>
  <si>
    <t>Caisse Régionale de crédit Mutuel de Loire Atlantique et du Centre Ouest</t>
  </si>
  <si>
    <t>Crédit Mutuel de Maine Anjou et Basse Normandie SA</t>
  </si>
  <si>
    <t>Caisse Regionale de Credit Mutuel du Centre</t>
  </si>
  <si>
    <t>Caisse Regionale du Credit Mutuel d'Anjou</t>
  </si>
  <si>
    <t>Caisse Federale du Credit Mutuel Ocean</t>
  </si>
  <si>
    <t>Caisse Regionale de Credit Mutuel d'Ile de France</t>
  </si>
  <si>
    <t>The Royal London Mutual Insurance Society LTD</t>
  </si>
  <si>
    <t>First Pacific Advisors LP</t>
  </si>
  <si>
    <t>The Children's Investment Fund Foundation Uk</t>
  </si>
  <si>
    <t>Carmignac Gestion</t>
  </si>
  <si>
    <t>ODDO BHF SCA</t>
  </si>
  <si>
    <t>Charles Schwaw Corporation</t>
  </si>
  <si>
    <t>Province of Quebec</t>
  </si>
  <si>
    <t>Aristotle Capital Management LLC</t>
  </si>
  <si>
    <t>Equitable Holdings INC</t>
  </si>
  <si>
    <t>Royal Bank of Canada</t>
  </si>
  <si>
    <t>ACCOR</t>
  </si>
  <si>
    <t>CGI INC (owner of CGI Deutschland BV &amp; CO.KG)</t>
  </si>
  <si>
    <t>mr Serge Godin</t>
  </si>
  <si>
    <t>Caisse de Depot et de Placement du Quebec</t>
  </si>
  <si>
    <t>Retirement Plans Sinking Fund</t>
  </si>
  <si>
    <t>Regie des Rentes du Quebec</t>
  </si>
  <si>
    <t>Government and Public employees of the Quebec construction industry</t>
  </si>
  <si>
    <t>Supplemental Pension Plan for employees of the Quebec construction industry</t>
  </si>
  <si>
    <t>Commission des Normes de Lequite de la Sante et de la Securité du Travail</t>
  </si>
  <si>
    <t>Societe de l'assurance automobile du quebec direction du sageunay lac saint jean</t>
  </si>
  <si>
    <t>Pension plan of management personnel</t>
  </si>
  <si>
    <t>Superaunnuation plan for the members of the surete du Quebec</t>
  </si>
  <si>
    <t>mr Andre Imbeauy</t>
  </si>
  <si>
    <t>Bay Street Holdings LP</t>
  </si>
  <si>
    <t>Mawer Investment Management</t>
  </si>
  <si>
    <t>Bank of Nova Scotia Scotiabank</t>
  </si>
  <si>
    <t>Blackrock Asset Management Canada Limited</t>
  </si>
  <si>
    <t>Blackrock Canada Holdings ULC</t>
  </si>
  <si>
    <t>AIM private Asset Management INC</t>
  </si>
  <si>
    <t>Fidelity Contrafund</t>
  </si>
  <si>
    <t>Kayne Anderson Rudnick Investment Management LLC</t>
  </si>
  <si>
    <t>Ci Financial Corp</t>
  </si>
  <si>
    <t>Manulife Financial Corp</t>
  </si>
  <si>
    <t>National Bank of Canada</t>
  </si>
  <si>
    <t>Fiera Capital Corporation</t>
  </si>
  <si>
    <t>Invesco LTD</t>
  </si>
  <si>
    <t>Fidelity Diversified International</t>
  </si>
  <si>
    <t>Bank of Montreal</t>
  </si>
  <si>
    <t>Beutel Goodman &amp; CO.LTD</t>
  </si>
  <si>
    <t>Invesco International Growth A</t>
  </si>
  <si>
    <t>Toronto Dominion Bank</t>
  </si>
  <si>
    <t>Canadian Imperial Bank of Commerce</t>
  </si>
  <si>
    <t>BMO Asset Management INC</t>
  </si>
  <si>
    <t>His Majesty in Right of Alberta</t>
  </si>
  <si>
    <t>Franklin Resources INC</t>
  </si>
  <si>
    <t>Legal &amp; General Group PLC</t>
  </si>
  <si>
    <t>Vanguard Total Intl Stock Index INV</t>
  </si>
  <si>
    <t>Fidelity Canada</t>
  </si>
  <si>
    <t>Guardian Capital Group Limited</t>
  </si>
  <si>
    <t>Leith Wheeler Investment</t>
  </si>
  <si>
    <t>Deutscher Sparkassen und Giroverband EV</t>
  </si>
  <si>
    <t>Schweizerische Nationalbank</t>
  </si>
  <si>
    <t>IA Financial Corporation INC</t>
  </si>
  <si>
    <t>Newsouth Capital Management INC</t>
  </si>
  <si>
    <t>QVGD Investors INC</t>
  </si>
  <si>
    <t>Laucam Holdings LTD</t>
  </si>
  <si>
    <t>Cidel Bank Canada</t>
  </si>
  <si>
    <t xml:space="preserve">Le Mouvement des Caisses Desjardins </t>
  </si>
  <si>
    <t>Sumitomo Mitsui Trust Holdings INC</t>
  </si>
  <si>
    <t>VP Invesco International GR 2</t>
  </si>
  <si>
    <t>CO</t>
  </si>
  <si>
    <t>The Empire Life Insurance Co</t>
  </si>
  <si>
    <t>Invesco Vi International Growth II</t>
  </si>
  <si>
    <t>Sopra GMT</t>
  </si>
  <si>
    <t>Famille Pasquier</t>
  </si>
  <si>
    <t>Famille Odin</t>
  </si>
  <si>
    <t>Managers</t>
  </si>
  <si>
    <t>Sopra Steria Actions</t>
  </si>
  <si>
    <t>Employees of Sopra Steria Group SA</t>
  </si>
  <si>
    <t>Fidelity Internaitonal Limited</t>
  </si>
  <si>
    <t>Dimensional Holdings inc</t>
  </si>
  <si>
    <t>Lazard Limited</t>
  </si>
  <si>
    <t xml:space="preserve">SAS Rue la Boetie </t>
  </si>
  <si>
    <t>Orange</t>
  </si>
  <si>
    <t>La Poste</t>
  </si>
  <si>
    <t>State of Florida</t>
  </si>
  <si>
    <t>Edmond de Rothschild SA</t>
  </si>
  <si>
    <t>Marshal Wace LLP</t>
  </si>
  <si>
    <t>Moneta Asset Management</t>
  </si>
  <si>
    <t>Fellow Bank PLC</t>
  </si>
  <si>
    <t>Primonial</t>
  </si>
  <si>
    <t>Financiere Arbevel</t>
  </si>
  <si>
    <t xml:space="preserve">KBC Groep NV </t>
  </si>
  <si>
    <t>Cyrus Conseil Sasu</t>
  </si>
  <si>
    <t>Massachusetts Mutual Life Insurance Co</t>
  </si>
  <si>
    <t>Anima Holding SPA</t>
  </si>
  <si>
    <t>Lupus Alpha Holding GMBH</t>
  </si>
  <si>
    <t>Montpensier Finance</t>
  </si>
  <si>
    <t>Anbang insurance Group CO LTD</t>
  </si>
  <si>
    <t>Bellevue Group</t>
  </si>
  <si>
    <t>UBS Group</t>
  </si>
  <si>
    <t>MW Gestion SA</t>
  </si>
  <si>
    <t>Wellington Management Group LLp</t>
  </si>
  <si>
    <t>Bay Street HoldingsLP</t>
  </si>
  <si>
    <t>Talence Gestion</t>
  </si>
  <si>
    <t>Tocqueville management Corp</t>
  </si>
  <si>
    <t>Keskinainen Tyoelakevakuuutusyhtio Elo</t>
  </si>
  <si>
    <t>Fi</t>
  </si>
  <si>
    <t>Antoine Francois Benoit Bellon de Chassy</t>
  </si>
  <si>
    <t>Loft Orbital Solutions INC</t>
  </si>
  <si>
    <t>Apollo Capital Partners GMBH</t>
  </si>
  <si>
    <t>Neuraspace SA</t>
  </si>
  <si>
    <t>Linspace Limited</t>
  </si>
  <si>
    <t>MT</t>
  </si>
  <si>
    <t>mr Paulo Jorge Pimenta Marques</t>
  </si>
  <si>
    <t>mr Nuno Jorge da Cruz Sebastiao</t>
  </si>
  <si>
    <t>Pangea Aerospace SL</t>
  </si>
  <si>
    <t>Innvierte Economie Sostenible SICC SME</t>
  </si>
  <si>
    <t>Centro Para el Desarrollo Tecnologico Industrial EPE</t>
  </si>
  <si>
    <t>Spaceable</t>
  </si>
  <si>
    <t>Case</t>
  </si>
  <si>
    <t>target company</t>
  </si>
  <si>
    <t>acquiring company</t>
  </si>
  <si>
    <t>Non-EU takeover of EU company</t>
  </si>
  <si>
    <t>M.53</t>
  </si>
  <si>
    <t>Havilland (Boeing company)</t>
  </si>
  <si>
    <t>FR/IT</t>
  </si>
  <si>
    <t>Aerospatiale/Alenia-Aeritalia e Selenia spa</t>
  </si>
  <si>
    <t>No</t>
  </si>
  <si>
    <t>M.178</t>
  </si>
  <si>
    <t>SW</t>
  </si>
  <si>
    <t>Ericson Radar Electronics</t>
  </si>
  <si>
    <t>Saab-Scania Combitech AB</t>
  </si>
  <si>
    <t>M.237</t>
  </si>
  <si>
    <t>Fokker</t>
  </si>
  <si>
    <t>Daimler-Benz</t>
  </si>
  <si>
    <t>M.877</t>
  </si>
  <si>
    <t>MDC</t>
  </si>
  <si>
    <t>Boeing</t>
  </si>
  <si>
    <t>M.1185</t>
  </si>
  <si>
    <t>M.1198</t>
  </si>
  <si>
    <t>Saab AB</t>
  </si>
  <si>
    <t>UK/SW</t>
  </si>
  <si>
    <t>British Aerospace plc/Investor AB</t>
  </si>
  <si>
    <t>M.1309</t>
  </si>
  <si>
    <t>Matra Hautes Technologies/Aérospatiale SNI</t>
  </si>
  <si>
    <t>Etat Francais/Lagardère SCA</t>
  </si>
  <si>
    <t>M.1438</t>
  </si>
  <si>
    <t>MES (part of GEC)</t>
  </si>
  <si>
    <t>British Aerospace plc</t>
  </si>
  <si>
    <t>M.1601</t>
  </si>
  <si>
    <t>Honeywell</t>
  </si>
  <si>
    <t>AlliedSignal</t>
  </si>
  <si>
    <t>M.1786</t>
  </si>
  <si>
    <t>Thomson-CSF (Thales)</t>
  </si>
  <si>
    <t>General Electric company</t>
  </si>
  <si>
    <t>Yes (jv)</t>
  </si>
  <si>
    <t>M.1636</t>
  </si>
  <si>
    <t>Astrium</t>
  </si>
  <si>
    <t>FR/DE</t>
  </si>
  <si>
    <t>Matra Marconi Space/DaimlerChrysler Aerospace AG</t>
  </si>
  <si>
    <t>M.1745</t>
  </si>
  <si>
    <t>EADS NV (Airbus)</t>
  </si>
  <si>
    <t>DE/FR/ES</t>
  </si>
  <si>
    <t>DaimlerChrysler AG/Lagardère SCA/French State/ Sociedad Estatal de Participaciones Industriales</t>
  </si>
  <si>
    <t>M.1879</t>
  </si>
  <si>
    <t>Hughes Electronics Corporation</t>
  </si>
  <si>
    <t>M.2061</t>
  </si>
  <si>
    <t>Airbus</t>
  </si>
  <si>
    <t>EADS NV</t>
  </si>
  <si>
    <t>M.2168</t>
  </si>
  <si>
    <t>Hurel-Dubois</t>
  </si>
  <si>
    <t>e SociÈtÈ Nationale díEtude et de Construction de Moteurs díAviation</t>
  </si>
  <si>
    <t>M.2183</t>
  </si>
  <si>
    <t>TI Group plc</t>
  </si>
  <si>
    <t>Smiths Industries plc</t>
  </si>
  <si>
    <t>M.2437</t>
  </si>
  <si>
    <t>JPN</t>
  </si>
  <si>
    <t>Toshiba</t>
  </si>
  <si>
    <t>NEC</t>
  </si>
  <si>
    <t>M.2488</t>
  </si>
  <si>
    <t>Alcatel Space</t>
  </si>
  <si>
    <t>Alcatel</t>
  </si>
  <si>
    <t>M.2438</t>
  </si>
  <si>
    <t>Fokker Space BV</t>
  </si>
  <si>
    <t>SW/NL</t>
  </si>
  <si>
    <t>Saab Ericsson Space AB/Stork NV</t>
  </si>
  <si>
    <t>M.2949</t>
  </si>
  <si>
    <t>Telespazio</t>
  </si>
  <si>
    <t>Fenmeccanica spa</t>
  </si>
  <si>
    <t>M.3217</t>
  </si>
  <si>
    <t>Avio spa</t>
  </si>
  <si>
    <t>US/IT</t>
  </si>
  <si>
    <t>Carlyle Group/Finmeccanica spa</t>
  </si>
  <si>
    <t>Yes</t>
  </si>
  <si>
    <t>M.3220</t>
  </si>
  <si>
    <t>EADS Telecom SAS</t>
  </si>
  <si>
    <t>M.3621</t>
  </si>
  <si>
    <t>Snecma</t>
  </si>
  <si>
    <t>Sagem SA</t>
  </si>
  <si>
    <t>M.3680</t>
  </si>
  <si>
    <t>Alcatel Alenia Space/Telespazio</t>
  </si>
  <si>
    <t>IT/FR</t>
  </si>
  <si>
    <t>Finmeccanica/Alcatel</t>
  </si>
  <si>
    <t>M.3856</t>
  </si>
  <si>
    <t>United Launch Alliance</t>
  </si>
  <si>
    <t>Lockheed Martin Corporation/Boeing</t>
  </si>
  <si>
    <t>M.4241</t>
  </si>
  <si>
    <t>Aviall</t>
  </si>
  <si>
    <t>M.4386</t>
  </si>
  <si>
    <t>Aero spa</t>
  </si>
  <si>
    <t>Cinven</t>
  </si>
  <si>
    <t>M.4551</t>
  </si>
  <si>
    <t>Raytheon Aircraft Company</t>
  </si>
  <si>
    <t>US/CA</t>
  </si>
  <si>
    <t>The Goldman Sachs Group/Onex Corporation</t>
  </si>
  <si>
    <t>M.4403</t>
  </si>
  <si>
    <t>Alcatel Alenia Space SAS/Telespazio Holding srl</t>
  </si>
  <si>
    <t>Thales SA/Finmeccanica SPA</t>
  </si>
  <si>
    <t>M.4796</t>
  </si>
  <si>
    <t>Stork Nv</t>
  </si>
  <si>
    <t>Candover Investments plc</t>
  </si>
  <si>
    <t>M.5060</t>
  </si>
  <si>
    <t>Euro Heat Pipes</t>
  </si>
  <si>
    <t>FR/BE</t>
  </si>
  <si>
    <t>EADS Group/Theodorus II SA/Theodorus SCA</t>
  </si>
  <si>
    <t>M.5151</t>
  </si>
  <si>
    <t>Global Aeronautica LLC</t>
  </si>
  <si>
    <t>Boeing/Finmeccanica Group</t>
  </si>
  <si>
    <t>M.5276</t>
  </si>
  <si>
    <t>Airbus (Laupheim manufacturing site)</t>
  </si>
  <si>
    <t>Diehl Stiftung &amp; Co.KG/Thales SA</t>
  </si>
  <si>
    <t>M.5357</t>
  </si>
  <si>
    <t>Airbus SAS</t>
  </si>
  <si>
    <t>GKN plc</t>
  </si>
  <si>
    <t>M.5168</t>
  </si>
  <si>
    <t>Surrey Satellite Technology Limited</t>
  </si>
  <si>
    <t>EADS</t>
  </si>
  <si>
    <t>M.5426</t>
  </si>
  <si>
    <t>M.5667</t>
  </si>
  <si>
    <t>Mecachrome International Inc.</t>
  </si>
  <si>
    <t>FR/CA</t>
  </si>
  <si>
    <t>ACE Management/Fonds de solidarité des travailleurs du Québec/ la Caisse des Dépôts et Consignations</t>
  </si>
  <si>
    <t>M.5668</t>
  </si>
  <si>
    <t xml:space="preserve">Safran </t>
  </si>
  <si>
    <t>Singapore</t>
  </si>
  <si>
    <t xml:space="preserve">Singapore Airlines Limited </t>
  </si>
  <si>
    <t>M.6581</t>
  </si>
  <si>
    <t>Volvo Aero</t>
  </si>
  <si>
    <t>M.6844</t>
  </si>
  <si>
    <t>M.7144</t>
  </si>
  <si>
    <t>Synergy Industry and Technology, S.A.</t>
  </si>
  <si>
    <t>Apollo Group</t>
  </si>
  <si>
    <t>M.7353</t>
  </si>
  <si>
    <t>No (JV)</t>
  </si>
  <si>
    <t>M.7676</t>
  </si>
  <si>
    <t>Fokker Technologies Group BV</t>
  </si>
  <si>
    <t>M.7724</t>
  </si>
  <si>
    <t>Arianespace SA</t>
  </si>
  <si>
    <t>Airbus Safran Launchers/Safran</t>
  </si>
  <si>
    <t>M.8425</t>
  </si>
  <si>
    <t>Zodiac Aerospace</t>
  </si>
  <si>
    <t>M.8688</t>
  </si>
  <si>
    <t xml:space="preserve">Orbital ATK </t>
  </si>
  <si>
    <t>Northrop Grumman</t>
  </si>
  <si>
    <t>M.8814</t>
  </si>
  <si>
    <t>Molrose Industries plc</t>
  </si>
  <si>
    <t>M.8858</t>
  </si>
  <si>
    <t>M.8658</t>
  </si>
  <si>
    <t>Rockwell Collins</t>
  </si>
  <si>
    <t>United Technologies Corporation</t>
  </si>
  <si>
    <t>M.10506</t>
  </si>
  <si>
    <t>Meggitt</t>
  </si>
  <si>
    <t>Parker-Hannifin Corporation</t>
  </si>
  <si>
    <t>tender_id</t>
  </si>
  <si>
    <t>tender_publications_firstdContractAwardDate</t>
  </si>
  <si>
    <t>tender_publications_lastContractAwardDate</t>
  </si>
  <si>
    <t>lot_status</t>
  </si>
  <si>
    <t>lot_contractSignatureDate</t>
  </si>
  <si>
    <t>lot_cancellationDate</t>
  </si>
  <si>
    <t>tender_year</t>
  </si>
  <si>
    <t>tender_title</t>
  </si>
  <si>
    <t>tender_country</t>
  </si>
  <si>
    <t>bidder_country</t>
  </si>
  <si>
    <t>price</t>
  </si>
  <si>
    <t>bidder_name</t>
  </si>
  <si>
    <t>buyer_name</t>
  </si>
  <si>
    <t>buyer_buyerType</t>
  </si>
  <si>
    <t>bid_price_EUR</t>
  </si>
  <si>
    <t>tender_finalPrice_EUR</t>
  </si>
  <si>
    <t>tender_estimatedPrice_EUR</t>
  </si>
  <si>
    <t>89f99677-96a9-4021-a712-b4f58762b84f</t>
  </si>
  <si>
    <t>AWARDED</t>
  </si>
  <si>
    <t>Inel etansare 5125A-287-2</t>
  </si>
  <si>
    <t>194.48</t>
  </si>
  <si>
    <t>AEROSTAR S.A.</t>
  </si>
  <si>
    <t>Unitatea Militara nr. 01969 -Campia Turzii</t>
  </si>
  <si>
    <t>NATIONAL_AGENCY</t>
  </si>
  <si>
    <t>ce946a21-3a23-4bb8-9392-87387eab2568</t>
  </si>
  <si>
    <t>Distantier CTP-placa flexibila</t>
  </si>
  <si>
    <t>199.67</t>
  </si>
  <si>
    <t>AEROTEH S.A.</t>
  </si>
  <si>
    <t>6fec0eb8-6f48-4340-bea2-227227dd71d3</t>
  </si>
  <si>
    <t>Elementi de filtrare filtru ulei CTP</t>
  </si>
  <si>
    <t>9e085539-41dd-406d-ad3e-d89d4251da7a</t>
  </si>
  <si>
    <t>Inel etansare 0257725</t>
  </si>
  <si>
    <t/>
  </si>
  <si>
    <t>c8001d91-d725-4a02-928a-374f5f2d5ff0</t>
  </si>
  <si>
    <t>INEL DE ETANSARE EXTERIOR CAPAC FILTRU HIDRAULIC REPER FG11SN-1 - 212010</t>
  </si>
  <si>
    <t>40a6f028-c7bd-487b-be59-d443dc4f7811</t>
  </si>
  <si>
    <t>Conducta 76-5513-10-28</t>
  </si>
  <si>
    <t>497.97</t>
  </si>
  <si>
    <t>285151ec-71c5-4036-ae66-4377926f5196</t>
  </si>
  <si>
    <t>Masca de oxigen pilot MBU 12/P</t>
  </si>
  <si>
    <t>AEROFINA S.A.</t>
  </si>
  <si>
    <t>Ministerul Apararii U.M. 02512Z</t>
  </si>
  <si>
    <t>NATIONAL_AUTHORITY</t>
  </si>
  <si>
    <t>089604f0-00e9-4d0a-88b2-0d9b248294b6</t>
  </si>
  <si>
    <t>GARNITURA ASL 94-6402-161 GARNITURA ASL 74-0200-1005</t>
  </si>
  <si>
    <t>1024.66</t>
  </si>
  <si>
    <t>AEROSTAR</t>
  </si>
  <si>
    <t>Ministerul Apararii Nationale - U.M.01912 BORCEA</t>
  </si>
  <si>
    <t>76735d79-2043-4585-8abf-08cb6bf73bda</t>
  </si>
  <si>
    <t>INEL DE ETANSARE CORP-PAHAR FILTRU HIDRAULIC REPER 11GF4SN-1 - 212003</t>
  </si>
  <si>
    <t>179.38</t>
  </si>
  <si>
    <t>bf85813a-49ec-4a21-a9d7-0b98b15c8024</t>
  </si>
  <si>
    <t>Inel etansare 74-0200-1008</t>
  </si>
  <si>
    <t>234.52</t>
  </si>
  <si>
    <t>bbcae0aa-d56e-4709-b7df-c7631783356d</t>
  </si>
  <si>
    <t>Punte de metalizare cu 3 papuci 200N1-1/12/12-90/180</t>
  </si>
  <si>
    <t>07918b92-1e4c-42eb-8c97-8a520449417e</t>
  </si>
  <si>
    <t>Piulite cu autosigurantare</t>
  </si>
  <si>
    <t>300.06</t>
  </si>
  <si>
    <t>c2546e65-3177-4278-a4b8-99eb021b719f</t>
  </si>
  <si>
    <t>Racord gofrat 1655001 si Furtun IU27-15K</t>
  </si>
  <si>
    <t>839.07</t>
  </si>
  <si>
    <t>375d3e0d-91ce-4332-bf47-41a9063452d2</t>
  </si>
  <si>
    <t>Inel etansare OD87-30-4S</t>
  </si>
  <si>
    <t>404.56</t>
  </si>
  <si>
    <t>10fb0c4f-f83f-4242-92f5-fbba43efbce9</t>
  </si>
  <si>
    <t>Conducta E6U-5511-6030-654</t>
  </si>
  <si>
    <t>444.14</t>
  </si>
  <si>
    <t>2a3f935c-caea-4bc7-a26c-5989cbd7f28a</t>
  </si>
  <si>
    <t>Conducta flexibila 76-5511-10-730</t>
  </si>
  <si>
    <t>1129.27</t>
  </si>
  <si>
    <t>e1276443-2058-4985-a8b8-c0490ade4e14</t>
  </si>
  <si>
    <t>Garnitura 2263A-10-1</t>
  </si>
  <si>
    <t>233.44</t>
  </si>
  <si>
    <t>9ca24181-ab80-4b1d-8a08-d370978851f9</t>
  </si>
  <si>
    <t>Sarma de sigurantat rezistenta la temperaturi inalte Ø0.5 mm</t>
  </si>
  <si>
    <t>503.57</t>
  </si>
  <si>
    <t>273dddb5-d310-4c0c-b6e5-4aa7cb0c1f35</t>
  </si>
  <si>
    <t>Burduf platou PRP reper 330A31-3243-00</t>
  </si>
  <si>
    <t>826.63</t>
  </si>
  <si>
    <t>bdde1e97-685e-4eeb-8506-4354b363eda6</t>
  </si>
  <si>
    <t>SPLINT INOX 2 X 40</t>
  </si>
  <si>
    <t>d4086308-29ed-44a0-8a99-aeec49bfab9a</t>
  </si>
  <si>
    <t>Reparatie Modul Sursa de Alimentare, Model SPXL-750Q-P</t>
  </si>
  <si>
    <t>Unitatea Militara 01812</t>
  </si>
  <si>
    <t>912386ba-d0d7-46b0-b3b7-40e5a9cd8802</t>
  </si>
  <si>
    <t>Supapa 695020</t>
  </si>
  <si>
    <t>524.36</t>
  </si>
  <si>
    <t>0b32dd0d-ec76-4eb9-910d-972d9738a744</t>
  </si>
  <si>
    <t>Inel etansare 74-0200-1005</t>
  </si>
  <si>
    <t>333.19</t>
  </si>
  <si>
    <t>7b6b563a-5cfc-4e6b-b8a8-5fa6ebce7e10</t>
  </si>
  <si>
    <t>Saiba opritoare KT-102-18</t>
  </si>
  <si>
    <t>581.8</t>
  </si>
  <si>
    <t>b30836a7-2236-4c3c-b3a0-83781c02f53d</t>
  </si>
  <si>
    <t>INEL DE ETANSARE CAPAC FILTRU HIDRAULIC REPER 11GF4SN-1 - 212002</t>
  </si>
  <si>
    <t>6990823f-063b-46f9-a376-54c8357ec92b</t>
  </si>
  <si>
    <t>Punte de metalizare cu 2 papuci 200N2-12/14-120</t>
  </si>
  <si>
    <t>5fba905f-0ad2-40af-b044-3b6122da4782</t>
  </si>
  <si>
    <t>Punte de metalizare cu 3 papuci 200N1-1-120/120</t>
  </si>
  <si>
    <t>c64d8b93-8a1e-4604-960a-e4a55f54544c</t>
  </si>
  <si>
    <t>Splint 3.2x50 DIN94 A2</t>
  </si>
  <si>
    <t>79ea3bf2-06a4-4cc5-9703-da5cea33eb2a</t>
  </si>
  <si>
    <t>Caseta DTC , reper AO 02582A-00</t>
  </si>
  <si>
    <t>ced98527-e805-436b-82b9-65d708f131f6</t>
  </si>
  <si>
    <t>Conducta flexibila 94-9511-570/A</t>
  </si>
  <si>
    <t>4fcd7ca8-d6d6-4a2a-bfec-ac2389629a06</t>
  </si>
  <si>
    <t>Casca pilot HGU 55/P</t>
  </si>
  <si>
    <t>1832.7</t>
  </si>
  <si>
    <t>2b38aa63-b826-49b0-aa76-280aa1310154</t>
  </si>
  <si>
    <t>Diafragma 76-5505-592</t>
  </si>
  <si>
    <t>1880.08</t>
  </si>
  <si>
    <t>36adcabd-4e98-4808-9480-744ed4166a7f</t>
  </si>
  <si>
    <t>AX SUSPENSIE S52.64.218</t>
  </si>
  <si>
    <t>651.93</t>
  </si>
  <si>
    <t>Ministerul Apararii Nationale - U. M. 02015 Bacau</t>
  </si>
  <si>
    <t>271fee60-c7dc-480e-9a32-139654e6c41d</t>
  </si>
  <si>
    <t>Inel etansare 0257107</t>
  </si>
  <si>
    <t>389.66</t>
  </si>
  <si>
    <t>a20fabf1-b8c3-405f-8f69-178d7df64b63</t>
  </si>
  <si>
    <t>Casca pilot tip HGU-55/P, marca GENTEX, marime medie, culoare gri.</t>
  </si>
  <si>
    <t>1775.51</t>
  </si>
  <si>
    <t>b0c0d5d7-9ba9-45f7-80c2-6fcad6ffa0a1</t>
  </si>
  <si>
    <t>Conducta 94-5512-10-56</t>
  </si>
  <si>
    <t>511.9</t>
  </si>
  <si>
    <t>ee62be08-8bf2-4292-94cb-9b42220c1581</t>
  </si>
  <si>
    <t>Garnitura 4327-155N607-33,4-5,4-2</t>
  </si>
  <si>
    <t>d004200e-27d7-4061-9697-2fb911e8d802</t>
  </si>
  <si>
    <t>Conducte flexibile reper 76-5511-1890-2 94-5511-570A Kit etansare PS 870 B1/2</t>
  </si>
  <si>
    <t>4298.78</t>
  </si>
  <si>
    <t>dfe7e178-7a8c-4d05-8e5d-ad6ba1beb494</t>
  </si>
  <si>
    <t>Inel etansare 2262a-222-2</t>
  </si>
  <si>
    <t>14e97bf1-ca30-4bf6-9f32-0acafd6e7f56</t>
  </si>
  <si>
    <t>GARNITURI CAUCIUC LEGATURA REZ. PLAN "Y" - 4327-155N607-33.4-5.4-2</t>
  </si>
  <si>
    <t>81a5a2ea-8da3-4c38-81e7-2bb22aba7f2b</t>
  </si>
  <si>
    <t>Punte de metalizare cu 3 papuci 200N1-1/1/12-80/120</t>
  </si>
  <si>
    <t>6129a920-5765-4ab4-8fd9-f2ddca454961</t>
  </si>
  <si>
    <t>Inel etansare 155N607-11.6-3.25</t>
  </si>
  <si>
    <t>0bb243a0-9a9e-41e5-ab4d-3f74f16e041c</t>
  </si>
  <si>
    <t>Inel etansare 2263A18-1</t>
  </si>
  <si>
    <t>397.03</t>
  </si>
  <si>
    <t>21b8265a-69f2-4d9f-9380-122d112e08f7</t>
  </si>
  <si>
    <t>360.82</t>
  </si>
  <si>
    <t>5191928c-94eb-4c2f-a6e1-62a2979b6939</t>
  </si>
  <si>
    <t>330A34-4132-20] Vizor</t>
  </si>
  <si>
    <t>251.79</t>
  </si>
  <si>
    <t>528f405a-aee0-4574-aab4-b7b2290c8d5f</t>
  </si>
  <si>
    <t>Sarma zincata ∅ 0.5, ∅ 0.8</t>
  </si>
  <si>
    <t>624.8</t>
  </si>
  <si>
    <t>8747dc74-ba80-4a04-ab63-4e25cc64c7e2</t>
  </si>
  <si>
    <t>Inel 2609S52-11-1.5-1078</t>
  </si>
  <si>
    <t>3d3e94e0-ab11-4d74-bd2d-708f314073a1</t>
  </si>
  <si>
    <t>Conducta 94-5511-20-160</t>
  </si>
  <si>
    <t>591.5</t>
  </si>
  <si>
    <t>1489fb2e-3b61-461f-98d6-3ab8a44d42fa</t>
  </si>
  <si>
    <t>INEL DE ETANSARE CORP-PAHAR FILTRUHIDRAULIC REPER 74-5505-580 - 76-5505-546-13</t>
  </si>
  <si>
    <t>d9ffe97a-267d-4f2d-ba47-5d5c38c1d900</t>
  </si>
  <si>
    <t>Inel etansare 155N607-25.6-3.25</t>
  </si>
  <si>
    <t>8286ffe3-1ce6-441b-9724-7cc914a0c5cd</t>
  </si>
  <si>
    <t>GARNITURI ASL 94-6402-161</t>
  </si>
  <si>
    <t>659.06</t>
  </si>
  <si>
    <t>576eb1db-f956-47fb-9c66-9bc862c0aab7</t>
  </si>
  <si>
    <t>GARNITURA POMPA HIDRAULICA NP34M-1T - 9V-6100-9005</t>
  </si>
  <si>
    <t>04aec3fa-522c-464d-b7cc-3dcd03e7af7a</t>
  </si>
  <si>
    <t>RULMENT SPATE LOGAN</t>
  </si>
  <si>
    <t>BLACSIR COM IMPEX SRL</t>
  </si>
  <si>
    <t>INSPECTORATUL JUDETEAN DE POLITIE BRAILA</t>
  </si>
  <si>
    <t>OTHER</t>
  </si>
  <si>
    <t>95784449-63f2-4b43-86b5-02a398bc6703</t>
  </si>
  <si>
    <t>Punte de metalizare cu 3 papuci 200N1-1-90/100</t>
  </si>
  <si>
    <t>e2b6edd7-059c-4b83-82a4-03b355f17abf</t>
  </si>
  <si>
    <t>[330A31-3243-00] Burduf</t>
  </si>
  <si>
    <t>287.76</t>
  </si>
  <si>
    <t>35064d8b-f7ee-4f63-ad0f-4d68c0a07b01</t>
  </si>
  <si>
    <t>Punte de metalizare cu 2 papuci 200N2-12-80</t>
  </si>
  <si>
    <t>ebc4c55c-8674-4294-a079-3c010925eabe</t>
  </si>
  <si>
    <t>e27b2870-b9a2-4ea7-ae14-34f5ac1d43f1</t>
  </si>
  <si>
    <t>552.53</t>
  </si>
  <si>
    <t>16cba237-b1c9-419a-9327-69a46996a219</t>
  </si>
  <si>
    <t>Inel etansare 201-7810-02</t>
  </si>
  <si>
    <t>7de153c8-c2a1-4f72-8278-8b0d24fa1fb2</t>
  </si>
  <si>
    <t>GARNITURA 94-6402-161</t>
  </si>
  <si>
    <t>367.73</t>
  </si>
  <si>
    <t>6228c777-0003-4cb9-8a76-2db77ee93580</t>
  </si>
  <si>
    <t>Inel etansare 3826-155N607-33.6-3.25</t>
  </si>
  <si>
    <t>154.29</t>
  </si>
  <si>
    <t>627e1363-3f74-4653-a351-41e405adedf4</t>
  </si>
  <si>
    <t>Inel etansare 2263A-18-1</t>
  </si>
  <si>
    <t>191.69</t>
  </si>
  <si>
    <t>7fe6b78a-a6d1-4a09-a5c1-79d2b4fc13d7</t>
  </si>
  <si>
    <t>Inel etansare 2263A-22-1</t>
  </si>
  <si>
    <t>192.29</t>
  </si>
  <si>
    <t>62ee1725-018a-4d77-b5a7-7ed55001c5ca</t>
  </si>
  <si>
    <t>Reparatie transmisie cardan echipat din sistemul de rotire antena pentru radare terestre, gama metri</t>
  </si>
  <si>
    <t>1942.67</t>
  </si>
  <si>
    <t>a8afd953-4edd-4afd-a25b-434b1a387d98</t>
  </si>
  <si>
    <t>Molding compound E-400P</t>
  </si>
  <si>
    <t>1918.34</t>
  </si>
  <si>
    <t>16691772-1b74-41f9-a875-a035eca636e0</t>
  </si>
  <si>
    <t>Casca GENTEX</t>
  </si>
  <si>
    <t>3533.42</t>
  </si>
  <si>
    <t>Ministerul Apararii Nationale, Unitatea Militara 02512 Z</t>
  </si>
  <si>
    <t>d0bfb892-96e7-46ba-8c11-4abf4ae4c1ae</t>
  </si>
  <si>
    <t>Inel etansare 2267A-165-2</t>
  </si>
  <si>
    <t>452.05</t>
  </si>
  <si>
    <t>97f4959f-f041-4a03-b2d7-493b9f20b8d2</t>
  </si>
  <si>
    <t>Inel etansare 76-4102-115</t>
  </si>
  <si>
    <t>9ba3e2a5-65ee-43ba-a8c3-a766ff4ff10f</t>
  </si>
  <si>
    <t>5ae4073c-f867-4920-8c8d-3c89f4da2b99</t>
  </si>
  <si>
    <t>Splint inox 2x40</t>
  </si>
  <si>
    <t>2ee007ab-65c1-4acf-8e3b-f5e168a5da43</t>
  </si>
  <si>
    <t>Inel etansare 3826-155N607-17.6-3.25</t>
  </si>
  <si>
    <t>148.51</t>
  </si>
  <si>
    <t>02af0a6a-dc17-459d-91ef-0869b049b53d</t>
  </si>
  <si>
    <t>Impingator 695007M</t>
  </si>
  <si>
    <t>ce6717c1-d215-4b67-86e3-d998ad2d0302</t>
  </si>
  <si>
    <t>INEL ETANSARE 2263A-20-1</t>
  </si>
  <si>
    <t>ce711344-d97c-44ea-b986-8956161f6d47</t>
  </si>
  <si>
    <t>Inel etansare 155N607-37.5-4-2</t>
  </si>
  <si>
    <t>224.3</t>
  </si>
  <si>
    <t>92818344-c9cd-4d11-8376-55c313d6d7c7</t>
  </si>
  <si>
    <t>Punte de metalizare cu 3 papuci 200N1-12-120/140</t>
  </si>
  <si>
    <t>6838aad3-383c-4274-a3db-f7daa37d4ffc</t>
  </si>
  <si>
    <t>Siguranta 0240010</t>
  </si>
  <si>
    <t>93c4b5a5-bd5e-45fa-8156-1e00010d8933</t>
  </si>
  <si>
    <t>Metalizarea 6245C56-2-140</t>
  </si>
  <si>
    <t>9783e8ad-00a8-42d7-b835-cfa99b7a76b6</t>
  </si>
  <si>
    <t>Punte de metalizare cu 2 papuci 200N2-1-90</t>
  </si>
  <si>
    <t>6d93d2ef-3a19-4c05-929c-49d526df8ee8</t>
  </si>
  <si>
    <t>Sarma zincata Ø0.8 mm</t>
  </si>
  <si>
    <t>109.04</t>
  </si>
  <si>
    <t>2e39cf4b-0654-4c0d-ac9a-4353671f2787</t>
  </si>
  <si>
    <t>Conducta flexibila 76-5512-960S</t>
  </si>
  <si>
    <t>362.52</t>
  </si>
  <si>
    <t>45495963-237e-463b-9c89-349c6ea7b040</t>
  </si>
  <si>
    <t>Piese de echipament aerospatial militar</t>
  </si>
  <si>
    <t>15480.97</t>
  </si>
  <si>
    <t>271d920c-5931-4a0b-ada7-3846650c99c5</t>
  </si>
  <si>
    <t>INEL DE ETANSARE INTERIOR CAPAC FILTRU HIDRAULIC REPER FG11SN-1 - 212009</t>
  </si>
  <si>
    <t>61bdc50d-eb60-4632-bb12-6eab5e5ab107</t>
  </si>
  <si>
    <t>Inel etansare 2609s52-11-1,5-1078</t>
  </si>
  <si>
    <t>f90727ce-87d3-4d23-9de1-0cf7713307fd</t>
  </si>
  <si>
    <t>Splint inox 1.2x20</t>
  </si>
  <si>
    <t>eb0d5223-33e9-4753-b013-895ac648427b</t>
  </si>
  <si>
    <t>Punte de metalizare cu 2 papuci 200N2-12-100</t>
  </si>
  <si>
    <t>68dd1c2d-ec44-413b-b440-bf39d46ab9ee</t>
  </si>
  <si>
    <t>Sarma zincata Ф0.5mm</t>
  </si>
  <si>
    <t>f47090f6-3a4c-4a97-b534-7d9256c8ddbc</t>
  </si>
  <si>
    <t>Punte de metalizare cu 2 papuci 200N1-1-100/90</t>
  </si>
  <si>
    <t>b2e2a26a-3eda-462a-9045-a139bbee3b7f</t>
  </si>
  <si>
    <t>Punte de metalizare cu 2 papuci 200N2-12-120</t>
  </si>
  <si>
    <t>7717de46-de9f-4b75-933c-c157dc056ec3</t>
  </si>
  <si>
    <t>4e3ea985-3810-4498-8c13-bf6b7cd0d5f7</t>
  </si>
  <si>
    <t>Inel etansare OD87-32.5-4S</t>
  </si>
  <si>
    <t>406.44</t>
  </si>
  <si>
    <t>78e86474-8f63-4c0d-b7d5-5e7bc81e664e</t>
  </si>
  <si>
    <t>Garnitura 94-6402-161</t>
  </si>
  <si>
    <t>398.28</t>
  </si>
  <si>
    <t>851773a8-a4b1-4c2c-8713-4b0d078676ff</t>
  </si>
  <si>
    <t>Ansamblu cablu suspendat sistem franare aeronave BAK-12 SMART ARREST</t>
  </si>
  <si>
    <t>14606.27</t>
  </si>
  <si>
    <t>BUSINESS PLUS</t>
  </si>
  <si>
    <t>63dcf45b-d4a2-4503-b5c3-f7cb0dc7fca2</t>
  </si>
  <si>
    <t>BULON PRINDERE CORP JAMBA SEMIFURCA F52-64-218 (DREAPTA)</t>
  </si>
  <si>
    <t>1305.67</t>
  </si>
  <si>
    <t>c383559e-adda-42a4-89d4-00593d626ec5</t>
  </si>
  <si>
    <t>Filtru ulei hidraulic + garnitura pentru sistem franare BAK-12</t>
  </si>
  <si>
    <t>S.C. ARIES COMERT &amp; INDUSTRIE S.R.L.</t>
  </si>
  <si>
    <t>f934d8e1-3d52-4622-8a95-5c6e84a22bd9</t>
  </si>
  <si>
    <t>7e34764a-8725-4b02-bbb7-e1a0fc7e10bb</t>
  </si>
  <si>
    <t>Garnitura OD87-15-2.6J/N</t>
  </si>
  <si>
    <t>231.88</t>
  </si>
  <si>
    <t>3eed5578-4fb8-4036-b501-11ec840531e6</t>
  </si>
  <si>
    <t>GARNITURI CAUCIUC LEGATURA REZ. PLAN "Y" - 4327-155N607-61-5.5-2</t>
  </si>
  <si>
    <t>c0ad7cb7-060f-4822-91ad-c8eb70f796c8</t>
  </si>
  <si>
    <t>Inel etansare 4327 155N607-33.4-5.4-2</t>
  </si>
  <si>
    <t>4d4c533d-a618-4a0a-ac5c-625e2883b9b9</t>
  </si>
  <si>
    <t>Piese de schimb pentru echipamentele produse de ROHDE SCHWARZ</t>
  </si>
  <si>
    <t>ROHDE &amp; SCHWARZ ROMANIA S.R.L.</t>
  </si>
  <si>
    <t>R.A. ROMATSA - ADMINISTRATIA ROMANA A SERVICIILOR DE TRAFIC AERIAN</t>
  </si>
  <si>
    <t>afbb6058-536d-4a1e-8923-42c30980307d</t>
  </si>
  <si>
    <t>INTEROGATOR DE SOL</t>
  </si>
  <si>
    <t>970.5</t>
  </si>
  <si>
    <t>S.C. AEROSTAR S.A.</t>
  </si>
  <si>
    <t>c7848c3a-408b-4133-a759-3b518e016ff0</t>
  </si>
  <si>
    <t>PREAWARDED</t>
  </si>
  <si>
    <t>Framework contract for supply of satellite remote sensing data.</t>
  </si>
  <si>
    <t>e-Geos S.P.A. (in consortium with GAF AG)</t>
  </si>
  <si>
    <t>European Commission, Joint Research Centre (JRC), Institute for Environment and Sustainability</t>
  </si>
  <si>
    <t>EUROPEAN_AGENCY</t>
  </si>
  <si>
    <t>181b1ab1-04d7-4607-a541-bcf32ef599d8</t>
  </si>
  <si>
    <t>T 1624 — SMARTCIG ZD9292876B — Progettazione MC-SAD</t>
  </si>
  <si>
    <t>Leonardo S.p.A.</t>
  </si>
  <si>
    <t>Ministero della Difesa — Segretariato Generale della Difesa e Direzione Nazionale degli Armamenti — Direzione Armamenti Navali</t>
  </si>
  <si>
    <t>a1cc0034-adc7-4b69-84a5-aab010d1b652</t>
  </si>
  <si>
    <t>Fornitura di n. 5 sistemi di ripresa aerea con telecamere giro stabilizzate multi sensore da montare a bordo degli elicotteri AB 212 della Polizia di Stato CIG 4117420A76.</t>
  </si>
  <si>
    <t>Insis SpA System Engineering</t>
  </si>
  <si>
    <t>Ministero dell'Interno-dipartimento della pubblica sicurezza-direzione centrale per la polizia stradale, ferroviaria, delle comunicazioni e per i reparti speciali della Polizia di Stato-settore aereo</t>
  </si>
  <si>
    <t>9e790fe8-d740-440e-bd5d-051f572563ff</t>
  </si>
  <si>
    <t>Approvvigionamento in ambito UE/WTO di: fornitura ed installazione di un Sistema di Simulazione di Ammaraggio Forzato dagli elicotteri per l'addestramento degli equipaggi di volo; fornitura delle relative pubblicazioni tecniche, corsi di addestramento, supporto logistico; adeguamento strutturale dell'infrastruttura presso cui il sistema verrà installato per le esigenze della M.M. — Stazione elicotteri Luni Sarzana (SP). Unico Lotto. C.I.G.: 5259646D2C.</t>
  </si>
  <si>
    <t>Maxcom Petroli SpA</t>
  </si>
  <si>
    <t>Ministero della Difesa – Segretariato Generale della Difesa/DNA – Direzione degli Armamenti Aeronautici</t>
  </si>
  <si>
    <t>Piaggio S.p.A.</t>
  </si>
  <si>
    <t>Esso Italiana Srl</t>
  </si>
  <si>
    <t>H+S Aviation Limited</t>
  </si>
  <si>
    <t>Survival Systems Limited</t>
  </si>
  <si>
    <t>449bd6e3-7d29-48a9-8905-0571fd750db0</t>
  </si>
  <si>
    <t>Õhutõrje tulejuhtimissüsteemi varuosad</t>
  </si>
  <si>
    <t>EE</t>
  </si>
  <si>
    <t>Riigi Kaitseinvesteeringute Keskus</t>
  </si>
  <si>
    <t>ecfc4611-055d-4a76-a719-58b57f513145</t>
  </si>
  <si>
    <t>Purchase of Maintenance Parts for the year 2013.</t>
  </si>
  <si>
    <t>ASG Luftfahrttechnik und Sensorik GmbH</t>
  </si>
  <si>
    <t>Bundesamt für Ausrüstung, Informationstechnik und Nutzung der Bundeswehr</t>
  </si>
  <si>
    <t>a9cfaaa9-129d-4ee2-ba6e-e67b446f4a57</t>
  </si>
  <si>
    <t>Purchase of Maintenance Parts for the year 2014.</t>
  </si>
  <si>
    <t>97ba922d-4c6a-4ea9-9cba-a4840fde67ee</t>
  </si>
  <si>
    <t>Diehl Aerospace GmbH</t>
  </si>
  <si>
    <t>f4710fea-9e85-4153-9d57-b7afd08d6846</t>
  </si>
  <si>
    <t>Test-Fuchs GmbH</t>
  </si>
  <si>
    <t>c643eefa-68ea-4688-845a-0ff282915be9</t>
  </si>
  <si>
    <t>Purchase of Maintenance Parts for the year 2012.</t>
  </si>
  <si>
    <t>Goodrich Lighting Systems GmbH</t>
  </si>
  <si>
    <t>Bundesamt für Wehrtechnik und Beschaffung</t>
  </si>
  <si>
    <t>151969b9-7332-4537-b835-ef95cab9db35</t>
  </si>
  <si>
    <t>Ludolph GmbH &amp; Co.KG</t>
  </si>
  <si>
    <t>19427afb-2042-4932-989d-ce6bc598a8de</t>
  </si>
  <si>
    <t>Röder Präzision GmbH</t>
  </si>
  <si>
    <t>ad73fd7c-8881-4125-9de9-c4235fcc5295</t>
  </si>
  <si>
    <t>&gt; Ersatzteilbeschaffung (Ersatzteilfolgebedarf) für die Aufklärungsdrohne "LUNA".</t>
  </si>
  <si>
    <t>EMT Ingenieurgesellschaft Dipl.-Ing. Hartmut Euer mbH</t>
  </si>
  <si>
    <t>bb990d58-8fa8-4a96-81b4-4b8d20a9de2e</t>
  </si>
  <si>
    <t>RTG Aero-, Hydraulic Inc.</t>
  </si>
  <si>
    <t>f0b1c09e-49c7-492d-852e-aecf58ea2570</t>
  </si>
  <si>
    <t>Autoflug</t>
  </si>
  <si>
    <t>2e8e0b09-a161-4f77-9556-28a0983da603</t>
  </si>
  <si>
    <t>Express Purchase of Maintenance Parts for the year 2012.</t>
  </si>
  <si>
    <t>Goodrich Control Systems GmbH</t>
  </si>
  <si>
    <t>aa881b29-db03-4aab-85f3-70da38e65da1</t>
  </si>
  <si>
    <t>153a99ee-e3f4-49ab-8c51-b62419d4b49f</t>
  </si>
  <si>
    <t>Untersuchung Nutzung des Lfz PC-12 als Flying Test Bed.</t>
  </si>
  <si>
    <t>E.I.S. Aircraft GmbH Luftfahrzeuge</t>
  </si>
  <si>
    <t>5f8eba29-0a7b-42e0-a5ed-cc2445387d07</t>
  </si>
  <si>
    <t>Thales Defence &amp; Security Systems GmbH</t>
  </si>
  <si>
    <t>80c5831d-1ea2-4ba1-b201-9e4324c297e4</t>
  </si>
  <si>
    <t>ATBM-Firing der deutschen Lw mit dem WS Patriot.</t>
  </si>
  <si>
    <t>TMD Targets</t>
  </si>
  <si>
    <t>a30a1651-cac1-4385-bfc6-fd00bd0a043f</t>
  </si>
  <si>
    <t>Purchase of maintenance parts for the year 2012.</t>
  </si>
  <si>
    <t>Elektro Metall Export GmbH</t>
  </si>
  <si>
    <t>9817cc40-eb98-42fe-bc2a-8e3fa965c4b4</t>
  </si>
  <si>
    <t>Ersatzteilbeschaffung (Ersatzteilfolgebedarf) für die Aufklärungsdrohne "LUNA".</t>
  </si>
  <si>
    <t>cdbc4691-0afb-42a2-8846-0e89e34995ec</t>
  </si>
  <si>
    <t>B/E Aerospace Systems GmbH</t>
  </si>
  <si>
    <t>68561a9c-be26-48d5-9352-f744c7c8c41d</t>
  </si>
  <si>
    <t>EADS Deutschland GmbH</t>
  </si>
  <si>
    <t>4dfcd3fd-8c6c-46e9-ab96-cc8569cb78af</t>
  </si>
  <si>
    <t>Rohde &amp; Schwarz GmbH &amp; Co. KG</t>
  </si>
  <si>
    <t>554a8c4a-4429-4b57-8ca4-4d00711e880a</t>
  </si>
  <si>
    <t>b4904e35-a6fa-44cf-88ab-fdc2174787a4</t>
  </si>
  <si>
    <t>Express purchase of maintenance parts for the year 2012.</t>
  </si>
  <si>
    <t>Motorflug Baden-Baden</t>
  </si>
  <si>
    <t>4a8c844a-f0de-4632-a1fe-3a18ca428657</t>
  </si>
  <si>
    <t>Thales Electronic Systems GmbH</t>
  </si>
  <si>
    <t>3ea9e0c3-49ec-406d-ab4c-b84fb0658b06</t>
  </si>
  <si>
    <t>bb8c53da-1b8f-49ff-b4d4-1e0fa9110a77</t>
  </si>
  <si>
    <t>Ersatzteilbeschaffung.</t>
  </si>
  <si>
    <t>817a870f-5f7c-44e8-b4ed-944faf52828a</t>
  </si>
  <si>
    <t>Transfer of funds from Defra to the NCEO</t>
  </si>
  <si>
    <t>NERC - National Centre for Atmospheric Science Earth Observation</t>
  </si>
  <si>
    <t>Defra Network eTendering Portal</t>
  </si>
  <si>
    <t>99ccdb5a-4c0d-4943-a8b4-c26d1b6afa50</t>
  </si>
  <si>
    <t>GSA/NP/28/15.</t>
  </si>
  <si>
    <t>CZ</t>
  </si>
  <si>
    <t>239527.72</t>
  </si>
  <si>
    <t>SES ASTRA S.A.</t>
  </si>
  <si>
    <t>European GNSS Agency (GSA)</t>
  </si>
  <si>
    <t>286688d8-ab24-4f71-bec7-1201f36c920c</t>
  </si>
  <si>
    <t>ND, časti a príslušenstvo techniky a zariadení LIPS podľa priloženého zoznamu - nevojenský materiál</t>
  </si>
  <si>
    <t>SK</t>
  </si>
  <si>
    <t>375216.17</t>
  </si>
  <si>
    <t>Techniserv, s.r.o.</t>
  </si>
  <si>
    <t>Ministerstvo obrany Slovenskej republiky – Úrad pre investície a akvizície</t>
  </si>
  <si>
    <t>416961.99</t>
  </si>
  <si>
    <t>68b77b80-07b9-4998-b505-e4f5b119ea9a</t>
  </si>
  <si>
    <t>Pre-commercial procurement (PCP) to buy R&amp;D services to bridge innovative downstream Earth observation and copernicus enabled services for integrated maritime environment, surveillance and security</t>
  </si>
  <si>
    <t>237568.1</t>
  </si>
  <si>
    <t>Planetek Hellas Etairia Periorismenis Euthinis (EPE)</t>
  </si>
  <si>
    <t>Directorate General for Maritime Policy (DGPM)</t>
  </si>
  <si>
    <t>PUBLIC_BODY</t>
  </si>
  <si>
    <t>Hidromod, Lda</t>
  </si>
  <si>
    <t>Ministerio del interior (GUCI)</t>
  </si>
  <si>
    <t>Fundo regional para a ciencia e tecnologia (FRCT)</t>
  </si>
  <si>
    <t>Norwegian Coastal Administration (NCA)</t>
  </si>
  <si>
    <t>Hellenic centre for marine research (HCMR)</t>
  </si>
  <si>
    <t>a4fda675-e96b-4a28-9dd9-67c1ef5d3daf</t>
  </si>
  <si>
    <t>Suministro de material necesario para la generación de humos de color amarillo para los aviones de la Patrulla Águila</t>
  </si>
  <si>
    <t>34929.05</t>
  </si>
  <si>
    <t>BRENNTAG QUIMICA, S.A.</t>
  </si>
  <si>
    <t>Jefatura de la Sección Económico-Administrativa 41 - Base Aérea de San Javier</t>
  </si>
  <si>
    <t>5a64e832-5f00-41e7-b03d-9d83369ebafa</t>
  </si>
  <si>
    <t>Material optomecánico</t>
  </si>
  <si>
    <t>Iberoptics, Sistemas Ópticos, S.L.</t>
  </si>
  <si>
    <t>Dirección General del INTA M.P.</t>
  </si>
  <si>
    <t>a2d1af12-db33-4186-b6f9-7acaa66eb7bd</t>
  </si>
  <si>
    <t>Suministro de imágenes de satélite de muy alta resolución del año 2014 sobre núcleos de población de las comunidades autónomas de Aragón, Región de Murcia, Extremadura, Andalucía y Castilla La Mancha y la zona costera de las comunidades autónomas de Andalucía y Región de Murcia.</t>
  </si>
  <si>
    <t>INFOTERRA Servicios de Geoinformación, S.A.</t>
  </si>
  <si>
    <t>Ingeniería de Sistemas para la Defensa de España S.A.</t>
  </si>
  <si>
    <t>d91101f4-286a-478d-9660-9c3bc7c3d6be</t>
  </si>
  <si>
    <t>Suministro de material necesario para la generación de humos de color para los aviones de la Patrulla Águila</t>
  </si>
  <si>
    <t>48480.25</t>
  </si>
  <si>
    <t>QUIMIDROGA, S.A</t>
  </si>
  <si>
    <t>1a72f13a-22c3-4516-9702-6f72026da067</t>
  </si>
  <si>
    <t>BRENNTAG QUIMICA S.A.U.</t>
  </si>
  <si>
    <t>ea0a10d8-9147-4344-9064-ebe84c64c7ca</t>
  </si>
  <si>
    <t>201652A4 Acuerdo Marco para el mantenimiento de los Sistemas de Armas T19/D.4 (CN-235), T.12 (C-212) y T.21 (C-295)</t>
  </si>
  <si>
    <t>AIRBUS DEFENCE AND SPACE SA</t>
  </si>
  <si>
    <t>Dirección de Adquisiciones del Mando de Apoyo Logístico del Ejército del Aire</t>
  </si>
  <si>
    <t>e919ff59-43c0-4dfd-bfdc-08beeabe6682</t>
  </si>
  <si>
    <t>AM alquiler de blancos aéreos remolcadores MOAI y blancos aéreos de altas prestaciones Scrab III y adquisición de repuestos de los blancos aéreos propulsados de doble turbina SCRAB II de la 11.ª Escuadrilla de Aeronaves</t>
  </si>
  <si>
    <t>Sistemas de Control Remoto, S. L.</t>
  </si>
  <si>
    <t>Jefatura del Apoyo Logístico</t>
  </si>
  <si>
    <t>7d4fe86f-0b06-4d84-8eb3-450bcfe19b27</t>
  </si>
  <si>
    <t>Adquisición de elementos de calibración de la marca VIBRATECH para medir las vibraciones de los helicópteros de la Base Aérea de Gando</t>
  </si>
  <si>
    <t>20041.17</t>
  </si>
  <si>
    <t>BAYPORT GLOBAL SUPPLIES S.A.</t>
  </si>
  <si>
    <t>Jefatura de la Sección Económico Administrativa 14 - Cuartel General del Mando Aéreo de Canarias</t>
  </si>
  <si>
    <t>20131.36</t>
  </si>
  <si>
    <t>191a711f-58a8-4804-831e-4ccf49d2c3bb</t>
  </si>
  <si>
    <t>Acuerdo Marco para el sostenimiento de los helicópteros PUMA (HD.19), SUPERPUMA (HD/HT.21), COUGAR (HT.27) y COLIBRÍ (HE.25), incluyendo las aeronaves, sus repuestos y servicios de mantenimiento en tercer escalón de componentes.</t>
  </si>
  <si>
    <t>Airbus Helicópteros España, S.A.</t>
  </si>
  <si>
    <t>b84eaf25-f9ac-4d6c-b11c-359b3d389de9</t>
  </si>
  <si>
    <t>Dossier 16163 — fourniture de rechanges pour le soutien de la flotte des aéronefs C130 de l'armée française et prestations logistiques associées au profit du Siaé.</t>
  </si>
  <si>
    <t>41520910.97</t>
  </si>
  <si>
    <t>Sabena Technics BOD</t>
  </si>
  <si>
    <t>Mindef/AIR/SIAÉ</t>
  </si>
  <si>
    <t>200f9695-3192-414b-a6d4-00fd63439708</t>
  </si>
  <si>
    <t>15160 — peintures, vernis et diluants AIA AB, BX, CF et CP.</t>
  </si>
  <si>
    <t>Supavia</t>
  </si>
  <si>
    <t>234e2a71-6d16-4827-9371-9f29c1fd2125</t>
  </si>
  <si>
    <t>Acquisition de rechanges dans le cadre de l'optimisation du MCO de la nacelle Reco NG.</t>
  </si>
  <si>
    <t>Thales Optronique SAS</t>
  </si>
  <si>
    <t>Mindef/Simmad</t>
  </si>
  <si>
    <t>3522a8dd-0a17-406f-9ad7-92caac7ed8c7</t>
  </si>
  <si>
    <t>Procurement of services and hardware related to the integration of the MH-60R Sikorsky SEAHAWK with MacTaggart Scott TRIGON systems on board the Royal Danish Navy's Thetis, Iver Huitfeldt and Absalon class vessels.</t>
  </si>
  <si>
    <t>MacTaggart, Scott &amp; Co. Ldt</t>
  </si>
  <si>
    <t>Forsvarsministeriets Materiel- og Indkøbsstyrelse</t>
  </si>
  <si>
    <t>88f8215d-5bff-4680-8042-ae2ba96bfa8a</t>
  </si>
  <si>
    <t>Sustainment of Pratt &amp; Whitney F100-220 engine components on the General Dynamics F-16.</t>
  </si>
  <si>
    <t>Blue Aerospace LLC</t>
  </si>
  <si>
    <t>AAR ACS Int.</t>
  </si>
  <si>
    <t>c77d17d0-fc46-4213-a607-c8afaf45079f</t>
  </si>
  <si>
    <t>Acquisition of 4 trailer mounted diesel driven cooling carts for F-16 air-crafts.</t>
  </si>
  <si>
    <t>ITW GSE — Military</t>
  </si>
  <si>
    <t>Danish Defence Acquisition and Logistic Organization C/O Kammeradvokaten</t>
  </si>
  <si>
    <t>a5a68389-ef73-415e-87c0-308e37fba744</t>
  </si>
  <si>
    <t>Keskeytysilmoitus: Hawk Mk51, Mk51A ja Mk66 -suihkuharjoituskoneiden jarruvaraosia, OEM Meggitt</t>
  </si>
  <si>
    <t>Puolustusvoimien logistiikkalaitos</t>
  </si>
  <si>
    <t>770854ad-3260-4533-82b3-33b7fc3cf853</t>
  </si>
  <si>
    <t>F/A-18 Hornet-hävittäjäkaluston Generator Converter Unit:in (GCU) varaosien hankinta (4000000867)</t>
  </si>
  <si>
    <t>Associated Aircraft</t>
  </si>
  <si>
    <t>Aero Precision Industries</t>
  </si>
  <si>
    <t>Simtech, Inc.</t>
  </si>
  <si>
    <t>7b5b1227-2225-44c8-972a-6d3116bf4b1e</t>
  </si>
  <si>
    <t>Hornet-kaluston jarrujen varaosien hankinta</t>
  </si>
  <si>
    <t>331984.28</t>
  </si>
  <si>
    <t>S3 International LLC</t>
  </si>
  <si>
    <t>1031568.56</t>
  </si>
  <si>
    <t>148538.96</t>
  </si>
  <si>
    <t>S&amp;K Logistics Services LLC</t>
  </si>
  <si>
    <t>327454.67</t>
  </si>
  <si>
    <t>160.82</t>
  </si>
  <si>
    <t>Aero Precision</t>
  </si>
  <si>
    <t>223429.83</t>
  </si>
  <si>
    <t>a48189b0-8172-4b3f-a4b1-4050b16840f5</t>
  </si>
  <si>
    <t>Hawk Mk51/51A/Mk66 -suihkuharjoituskoneiden hydraulisten ja mekaanisten järjestelmien varaosia</t>
  </si>
  <si>
    <t>Aviation &amp; Defence Spares Ltd</t>
  </si>
  <si>
    <t>S3 AeroDefence</t>
  </si>
  <si>
    <t>Fokker Services BV</t>
  </si>
  <si>
    <t>CoTech Trading (GB) Ltd</t>
  </si>
  <si>
    <t>DAeCO Ltd</t>
  </si>
  <si>
    <t>4ef09e02-e017-4211-9ec8-69f09df7b8b6</t>
  </si>
  <si>
    <t>Copernicus Security Framework Update</t>
  </si>
  <si>
    <t>GMV Soluciones Globales Internet S.A.U.</t>
  </si>
  <si>
    <t>European Commission, Directorate-General for Internal Market, Industry, Entrepreneurship and SMEs</t>
  </si>
  <si>
    <t>bc076a05-afd1-40a0-bcea-d7ac4cf15e92</t>
  </si>
  <si>
    <t>Galileo full operational capability time and geodetic validation facility (TGVF).</t>
  </si>
  <si>
    <t>GMV Aerospace and Defence S.A.U.</t>
  </si>
  <si>
    <t>European Commission, Directorate-General for Enterprise and Industry</t>
  </si>
  <si>
    <t>f766ad94-5726-4a27-b616-58077245f1d2</t>
  </si>
  <si>
    <t>Purchase of retirement items for the AH-64D Helicopter.</t>
  </si>
  <si>
    <t>RELLI Technology Holland BV</t>
  </si>
  <si>
    <t>Royal Netherlands Air Force, Logistic Centre Woensdrecht</t>
  </si>
  <si>
    <t>The Boeing Company (MDHC)</t>
  </si>
  <si>
    <t>Integrated Procurement Technologies</t>
  </si>
  <si>
    <t>bcc0d760-b996-41e7-8ac3-e0f50f0074d7</t>
  </si>
  <si>
    <t>Reserveonderdelen Wapensysteem gebonden Support en Test Equipment.</t>
  </si>
  <si>
    <t>ADS&amp;CO</t>
  </si>
  <si>
    <t>806f7a62-be43-4767-b7df-5aec583fa5c5</t>
  </si>
  <si>
    <t>Pilot project on the design, implementation and execution of the transfer of GNSS data during an E112 call to the public service answering point (PSAP).</t>
  </si>
  <si>
    <t>Telespazio France</t>
  </si>
  <si>
    <t>ea16c1de-d471-4be7-a6d1-ca387b894658</t>
  </si>
  <si>
    <t>Conducta flexibila 76-5511-1890-2</t>
  </si>
  <si>
    <t>2345.56</t>
  </si>
  <si>
    <t>cbe91e90-056a-4156-b090-eee73b8d8fdf</t>
  </si>
  <si>
    <t>SARMA INOX W1.4541 - 0.8 mm</t>
  </si>
  <si>
    <t>99c37bbe-8e72-4f52-8c3d-e39c80d00a8b</t>
  </si>
  <si>
    <t>SERVICIUL DE REPARATIE SI REGLAJ SISTEM DE COMUNICATII SI RECEPTIE RADARE CENTIMETRICE</t>
  </si>
  <si>
    <t>2624.89</t>
  </si>
  <si>
    <t>97d6ca81-dced-484e-b0d6-cdf3b6a6dd6f</t>
  </si>
  <si>
    <t>821.54</t>
  </si>
  <si>
    <t>813f5fd1-2d4b-4436-880f-2b587b4e8a5a</t>
  </si>
  <si>
    <t>Lamp CM28-0.05 si Universal Lamp WL-1524 28V 21W</t>
  </si>
  <si>
    <t>4086.45</t>
  </si>
  <si>
    <t>06063339-e287-4a02-95e8-de593dbce35f</t>
  </si>
  <si>
    <t>CONDUCTA FLEXIBILA ABSORTIE IHP - 76-5511-1890-2</t>
  </si>
  <si>
    <t>862.55</t>
  </si>
  <si>
    <t>f41b8eb3-b090-4622-a9d8-d8f099cebfec</t>
  </si>
  <si>
    <t>GARNITURI CAUCIUC LEGATURA ROBINET ASL - FLANSA ASL MOTOR - 94-6402-161</t>
  </si>
  <si>
    <t>368.35</t>
  </si>
  <si>
    <t>f3a541a8-16ff-4c1e-a705-7e6f6653209b</t>
  </si>
  <si>
    <t>Inel etansare 0257108</t>
  </si>
  <si>
    <t>aaf06e3e-924e-4cc9-80f7-4790b6686b35</t>
  </si>
  <si>
    <t>Inel etansare 76-5505-546-34</t>
  </si>
  <si>
    <t>72a23528-157b-4f9a-92ca-401c1c4fa0a3</t>
  </si>
  <si>
    <t>2182.76</t>
  </si>
  <si>
    <t>44f72741-3b95-4f7e-bb08-040581438ad1</t>
  </si>
  <si>
    <t>63e66d17-099d-4773-bd08-f6613020504e</t>
  </si>
  <si>
    <t>Confectionare ansamblu racord mare</t>
  </si>
  <si>
    <t>1074.57</t>
  </si>
  <si>
    <t>e11df41b-4f8b-4ca1-a972-63ec76f780c8</t>
  </si>
  <si>
    <t>Inel etansare 2609552-22-2-1078</t>
  </si>
  <si>
    <t>115.07</t>
  </si>
  <si>
    <t>6df29873-2fd9-444d-b811-6741c732b560</t>
  </si>
  <si>
    <t>Conducta flexibila 94-5511-570A</t>
  </si>
  <si>
    <t>444.59</t>
  </si>
  <si>
    <t>24147e9e-97ba-4d7c-abb8-e1beced7533c</t>
  </si>
  <si>
    <t>438.04</t>
  </si>
  <si>
    <t>4fa2d3da-9cd3-4106-9daa-d692b7e1a462</t>
  </si>
  <si>
    <t>Valva aterizor</t>
  </si>
  <si>
    <t>cb633f9c-f237-43b1-8755-1598ea2e695f</t>
  </si>
  <si>
    <t>Inel etansare 2263A22-1</t>
  </si>
  <si>
    <t>398.11</t>
  </si>
  <si>
    <t>bb79ca44-0b78-44b4-95cb-a1c7dfab19a7</t>
  </si>
  <si>
    <t>f00504ad-e97f-43cc-a2bf-13c9528db016</t>
  </si>
  <si>
    <t>Confectionare ansamblu racord mic</t>
  </si>
  <si>
    <t>514.9</t>
  </si>
  <si>
    <t>59ae1a85-d567-4935-9f6a-d1bff9296f94</t>
  </si>
  <si>
    <t>Conducta 76-5513-10-29</t>
  </si>
  <si>
    <t>501.4</t>
  </si>
  <si>
    <t>665d8c06-9971-4bed-9ea3-d68a083bba33</t>
  </si>
  <si>
    <t>Garnitura 0D87-30-4S</t>
  </si>
  <si>
    <t>238.45</t>
  </si>
  <si>
    <t>7d5fa13d-e8a9-460d-b338-315e190b86a0</t>
  </si>
  <si>
    <t>d9c6244e-f4b0-4934-8a03-f6db8250172e</t>
  </si>
  <si>
    <t>THERMAL COATING E-400F , MOLDING COMPOUND E-400P</t>
  </si>
  <si>
    <t>3706.16</t>
  </si>
  <si>
    <t>e45c163b-653a-4527-85ba-00b2f992c720</t>
  </si>
  <si>
    <t>392.96</t>
  </si>
  <si>
    <t>d11f0034-b4d5-4858-bba0-98516360a7ed</t>
  </si>
  <si>
    <t>Punte de metalizare cu 2 papuci 200N2-1-100</t>
  </si>
  <si>
    <t>998ff392-ac32-40b4-a43f-d28fb984979d</t>
  </si>
  <si>
    <t>BULON PRINDERE CORP JAMBA SEMIFURCA F52-54-218 (STANGA)</t>
  </si>
  <si>
    <t>12449d59-0271-45ba-b43f-52f05d67156f</t>
  </si>
  <si>
    <t>Garnitura 4327 155N607-61-5.5-2</t>
  </si>
  <si>
    <t>1b803396-19cb-4c0b-aa24-595230a78e22</t>
  </si>
  <si>
    <t>Splint inox 1.2x40</t>
  </si>
  <si>
    <t>545bd602-9557-449f-8303-d3d1a6b3d014</t>
  </si>
  <si>
    <t>Inel etansare 0257672</t>
  </si>
  <si>
    <t>af4da5fe-973f-45f6-9c75-e505b62c556d</t>
  </si>
  <si>
    <t>296.65</t>
  </si>
  <si>
    <t>edfacb7c-ce5f-44bc-94f6-b183203f4931</t>
  </si>
  <si>
    <t>[81811-270] Bucsa etansare zona pompei hidraulice</t>
  </si>
  <si>
    <t>823f33f7-3ec8-4487-9adc-f5d45630c6c6</t>
  </si>
  <si>
    <t>INEL METALIC CU PLASA ETANSARE KT-92 - 3405A-5-10-20</t>
  </si>
  <si>
    <t>eb706f16-cd66-4440-bd0e-bfd454afeb1f</t>
  </si>
  <si>
    <t>Inel etansare 5125a-8-2</t>
  </si>
  <si>
    <t>c656daad-f5ec-4065-b068-c59b4ca15927</t>
  </si>
  <si>
    <t>Inel etansare 155N607-17.6-3.25</t>
  </si>
  <si>
    <t>557ef195-e07b-4cbe-9fce-0f8264740a58</t>
  </si>
  <si>
    <t>BUCSA</t>
  </si>
  <si>
    <t>1fdeab83-f4fe-419b-bdd9-e68270dec763</t>
  </si>
  <si>
    <t>Saiba O247100</t>
  </si>
  <si>
    <t>ada9f689-efcc-4499-8572-3a5bc325ccde</t>
  </si>
  <si>
    <t>Inel etansare 155N607-15.6-3.25</t>
  </si>
  <si>
    <t>ff7c827f-920d-4246-a880-55b2c33f25cc</t>
  </si>
  <si>
    <t>Punte de metalizare cu 3 papuci 200N1-1-100/140</t>
  </si>
  <si>
    <t>34153736-0516-4b17-8b59-4fe66df39a49</t>
  </si>
  <si>
    <t>INEL ETANSARE REZERVOR HIDRAULIC - 155N607-49.4-5.4</t>
  </si>
  <si>
    <t>252b84e1-4707-4644-b38d-f9ceff74dee5</t>
  </si>
  <si>
    <t>Conducta 94-5511-20-293</t>
  </si>
  <si>
    <t>888.28</t>
  </si>
  <si>
    <t>3caa7e73-01ad-4e15-a894-29799283282a</t>
  </si>
  <si>
    <t>Inel etansare 0257634</t>
  </si>
  <si>
    <t>750.35</t>
  </si>
  <si>
    <t>265c94eb-258d-4469-bdc2-0d2c879fab1d</t>
  </si>
  <si>
    <t>INEL DE ETANSARE SUPAPA FILTRU HIDRAULIC REPER 11GF4SN-1 - 212001</t>
  </si>
  <si>
    <t>ddbba8ad-288f-4f20-8230-64e8f7252fe3</t>
  </si>
  <si>
    <t>Inel etansare 76-5505-546-13</t>
  </si>
  <si>
    <t>74b396a6-a431-4a97-baa3-e18fc16bc323</t>
  </si>
  <si>
    <t>Inel etansare flansa alt.</t>
  </si>
  <si>
    <t>0fd53595-9437-4346-b4c6-c1dcd19335a8</t>
  </si>
  <si>
    <t>Conducta 94-5512-10-57</t>
  </si>
  <si>
    <t>553.85</t>
  </si>
  <si>
    <t>da3c1a84-33ae-4fb5-bcf1-6795f0e8cde8</t>
  </si>
  <si>
    <t>Splint inox 2x32</t>
  </si>
  <si>
    <t>8d33ad0a-0946-41d4-b3a4-a17309e1c272</t>
  </si>
  <si>
    <t>Inel E6-2053-23</t>
  </si>
  <si>
    <t>2db8205d-f020-48eb-994d-1e25692ca845</t>
  </si>
  <si>
    <t>Siguranta cu aripioare (amort. baleiaj)</t>
  </si>
  <si>
    <t>a17dbe7a-2c47-4632-ba4c-d42ee7601666</t>
  </si>
  <si>
    <t>Inel E6-2053-351</t>
  </si>
  <si>
    <t>d625f310-2a87-4946-aacc-eebb99870bd2</t>
  </si>
  <si>
    <t>8c819cc2-d214-455d-991e-2127a9c86b98</t>
  </si>
  <si>
    <t>Inel etansare 2262A-162-2</t>
  </si>
  <si>
    <t>135.94</t>
  </si>
  <si>
    <t>ca441dcb-17a8-447f-96de-c18a0d4fed30</t>
  </si>
  <si>
    <t>INEL ETANSARE REZERVOR HIDRAULIC - 155N607-69-5.5</t>
  </si>
  <si>
    <t>4902b8c2-651b-49a2-a8f0-736e75615946</t>
  </si>
  <si>
    <t>a9e9daf5-a0e2-48db-baa9-3238af8a13d7</t>
  </si>
  <si>
    <t>Splint 1.6x40 DIN94 A2</t>
  </si>
  <si>
    <t>89632d5b-8d85-4e99-9972-a6d80937fa8d</t>
  </si>
  <si>
    <t>INEL DE ETANSARE CORP-PAHAR CAPAC FILTRU HIDRAULIC REPER FG11SN-1 - 2262A-162-2</t>
  </si>
  <si>
    <t>44c9f22b-c91b-497b-aebe-07497d58cc9d</t>
  </si>
  <si>
    <t>CARTUS DESICATOR C-64800/A</t>
  </si>
  <si>
    <t>a08999e1-7adf-46ce-af0f-7c7fb258f141</t>
  </si>
  <si>
    <t>777c339b-dd3f-4569-a203-f52417f04f04</t>
  </si>
  <si>
    <t>Punte de metalizare cu 2 papuci 200N2-1-80</t>
  </si>
  <si>
    <t>68756599-73d0-4c9c-b9df-6b2a6615a62e</t>
  </si>
  <si>
    <t>Inel etansare OD87-15-2.6JN</t>
  </si>
  <si>
    <t>190.8</t>
  </si>
  <si>
    <t>2a26155d-f940-4e6a-9cd7-154028fa7327</t>
  </si>
  <si>
    <t>Sarma de sigurantat rezistenta la temperaturi inalte Ø0.8 mm</t>
  </si>
  <si>
    <t>487.37</t>
  </si>
  <si>
    <t>6bd8b300-e6c6-47a3-8ab9-557ccd3c4111</t>
  </si>
  <si>
    <t>107.89</t>
  </si>
  <si>
    <t>42ad5e14-a584-46b0-8710-8dc6a58568a1</t>
  </si>
  <si>
    <t>Bucsa E6-4100-263</t>
  </si>
  <si>
    <t>332.11</t>
  </si>
  <si>
    <t>7744e1eb-0b5d-4fa3-b212-0e88a24bfc41</t>
  </si>
  <si>
    <t>Garnitura 74-6100-511</t>
  </si>
  <si>
    <t>ba39aa91-e784-4fc4-bf9c-be79353a25e2</t>
  </si>
  <si>
    <t>Inel etansare 2263A16-1</t>
  </si>
  <si>
    <t>49652e94-d99d-48d4-88a9-995c59c34695</t>
  </si>
  <si>
    <t>Garnitura 9V-6100-9005</t>
  </si>
  <si>
    <t>291c2dda-bb71-4e1e-930d-01cb1fad2d73</t>
  </si>
  <si>
    <t>Inel etansare 76-6100-305</t>
  </si>
  <si>
    <t>37bc328b-893e-4d28-9b8d-da4a05996591</t>
  </si>
  <si>
    <t>Inel etansare 155N607-69-5.5</t>
  </si>
  <si>
    <t>118.67</t>
  </si>
  <si>
    <t>6805c3f8-c9c6-4f94-b363-87a619161c10</t>
  </si>
  <si>
    <t>5ae0a873-b0cf-4835-bf91-26e6852a9fdd</t>
  </si>
  <si>
    <t>Inel etansare 155N607-49,4-5,4</t>
  </si>
  <si>
    <t>ae04f9ae-4f80-4304-918b-d05c56dc3aaa</t>
  </si>
  <si>
    <t>ce5b5ea9-b703-468a-9f6a-e400b856bb0a</t>
  </si>
  <si>
    <t>Etansant cupola Sealant PS870B1/2</t>
  </si>
  <si>
    <t>712.17</t>
  </si>
  <si>
    <t>0dc5c70c-c5a9-49ac-b225-e136dc644316</t>
  </si>
  <si>
    <t>Bucsa E7-4100-811</t>
  </si>
  <si>
    <t>239.29</t>
  </si>
  <si>
    <t>fe0e42d3-77ac-45b1-8425-342d84a8b4ae</t>
  </si>
  <si>
    <t>Inel etansare 155N607-29.6-3.25</t>
  </si>
  <si>
    <t>5802900c-e59e-46d4-bcc5-7b9ef87350dd</t>
  </si>
  <si>
    <t>Reparatie UPS, model ETI001-2255 din configuratia radar TPS77</t>
  </si>
  <si>
    <t>6096.68</t>
  </si>
  <si>
    <t>76598407-cdbf-43cd-8c51-be25cdec1ef1</t>
  </si>
  <si>
    <t>INEL ETANSARE PLACA REZ. 3 INFERIOR - 74-6100-512</t>
  </si>
  <si>
    <t>fad98200-a800-4ce4-a88b-4beef66090d0</t>
  </si>
  <si>
    <t>Garnitura 201-7810-02</t>
  </si>
  <si>
    <t>d5840b12-0938-4834-a25f-f57bf12a9642</t>
  </si>
  <si>
    <t>Punte de metalizare cu 3 papuci 200N1-1/1/12-100/120</t>
  </si>
  <si>
    <t>72fc083f-49a1-4efa-87fa-371d04125e6e</t>
  </si>
  <si>
    <t>Ermetic banda - SM 5127</t>
  </si>
  <si>
    <t>f1d6dab9-78e1-4fa7-8eb1-00913d2f68d2</t>
  </si>
  <si>
    <t>Splint 2.5x20 DIN94 A2</t>
  </si>
  <si>
    <t>58d9bbde-bf46-4817-aaa0-0dbee94df5ef</t>
  </si>
  <si>
    <t>Sarma zincata Ф0.8mm</t>
  </si>
  <si>
    <t>a75a412c-4810-453c-ba4f-d1482a876f1c</t>
  </si>
  <si>
    <t>Bolt 94-5600-2001-1</t>
  </si>
  <si>
    <t>487.18</t>
  </si>
  <si>
    <t>d161d3a5-2b62-4cf0-8a60-b2780ba8b569</t>
  </si>
  <si>
    <t>Servicii de reparatii UPS ETI-00</t>
  </si>
  <si>
    <t>4755.74</t>
  </si>
  <si>
    <t>f99335ea-3cf8-4172-af03-2df6b8a49d18</t>
  </si>
  <si>
    <t>Kit etansare cupola, tip LJF</t>
  </si>
  <si>
    <t>350.96</t>
  </si>
  <si>
    <t>fc8ba590-5249-4923-ad59-d4c190db23c0</t>
  </si>
  <si>
    <t>Colier 5191A-25, Fisa de inalta tensiune aprindere motor</t>
  </si>
  <si>
    <t>UNITATEA MILITARA 01838</t>
  </si>
  <si>
    <t>fe607c3b-4a0d-4d28-b1af-6f503aebd5f1</t>
  </si>
  <si>
    <t>1581.78</t>
  </si>
  <si>
    <t>115ad551-8fec-42ed-9c46-256965412cf7</t>
  </si>
  <si>
    <t>Reparatii si configurare sistem de comunicatii Extractor Date</t>
  </si>
  <si>
    <t>85dc5bdf-b67e-4d52-9f0d-405189c8b6f2</t>
  </si>
  <si>
    <t>Splinturi si Sealant PS870B1/2</t>
  </si>
  <si>
    <t>242.21</t>
  </si>
  <si>
    <t>95ad48ce-2de4-4fbf-8199-f74b4fb4dbdd</t>
  </si>
  <si>
    <t>Garnitura filtru ulei hidraulic</t>
  </si>
  <si>
    <t>129.1</t>
  </si>
  <si>
    <t>1b345946-1e4b-41da-afda-15b897821e6b</t>
  </si>
  <si>
    <t>Furnizare piese de schimb şi componente</t>
  </si>
  <si>
    <t>524.61</t>
  </si>
  <si>
    <t>ROMAERO SA</t>
  </si>
  <si>
    <t>UNITATEA MILITARA 01961</t>
  </si>
  <si>
    <t>28ea8f9a-99e4-4622-a3af-0389f31b409e</t>
  </si>
  <si>
    <t>PERII 555126</t>
  </si>
  <si>
    <t>4725.65</t>
  </si>
  <si>
    <t>6670a44c-58ab-437d-88df-87da634ddf3b</t>
  </si>
  <si>
    <t>0646bfdb-cc64-4742-ae2b-a21af1f87406</t>
  </si>
  <si>
    <t>400.5</t>
  </si>
  <si>
    <t>8e185280-8b92-4170-88f4-66efe28c4e36</t>
  </si>
  <si>
    <t>Punte de metalizare cu 3 papuci 200N1-1-1-80/120</t>
  </si>
  <si>
    <t>694775c5-b4ad-467b-9d79-009c7e024558</t>
  </si>
  <si>
    <t>cec8f9af-3599-4bf9-a601-96a9224ed028</t>
  </si>
  <si>
    <t>c3bbb0ba-a09d-41e8-9a8e-439c59086818</t>
  </si>
  <si>
    <t>Punte de metalizare cu 2 papuci 200N2-1-150</t>
  </si>
  <si>
    <t>e526b522-8cf3-464c-aead-4237727a92da</t>
  </si>
  <si>
    <t>Dodatna dela 1. sklopa elektronske navigacije na letališču Cerklje ob Krki.</t>
  </si>
  <si>
    <t>SI</t>
  </si>
  <si>
    <t>MINISTRSTVO ZA OBRAMBO LJUBLJANA</t>
  </si>
  <si>
    <t>17798cb1-afff-416d-9414-ba80fdd1a5cb</t>
  </si>
  <si>
    <t>Approvvigionamento di combustibile navale distillato — gasolio a simbolo NATO F-76 specifica tecnica MM PRF 1000A — Ed. Aprile 2015, ovvero STANAG 1385 ultima versione, per il rifornimento dei Depositi della M.M. (POL Nazionali/NATO) di Taranto, La Spezia ed Augusta e/o per il rifornimento diretto alle UU.NN. nei Porti sedi dei Depositi stessi per le esigenze della Marina Militare. — Unico lotto — Esente da IVA ed ACCISA. Importo complessivo di 16 700 000 EUR oltre 8 000 000 EUR di eventuale lotto opzionale — EE.FF. 2016 (1 000 000 EUR) — 2017 (9 700 000 EUR) — 2018 (6 000 000 EUR).</t>
  </si>
  <si>
    <t>Unioil Supply A/S</t>
  </si>
  <si>
    <t>Ministero della Difesa — SGD/DNA — Direzione degli Armamenti Aeronautici e per l'Aeronavigabilità</t>
  </si>
  <si>
    <t>Air BP Italia SpA</t>
  </si>
  <si>
    <t>ENI SpA</t>
  </si>
  <si>
    <t>828782.46</t>
  </si>
  <si>
    <t>IFI Srl</t>
  </si>
  <si>
    <t>660bf372-60bf-4730-8252-9a113d4468d0</t>
  </si>
  <si>
    <t>Approvvigionamento di Kit aggiornamento per mitragliatrici M-134D, manuali tecnici per l'Esercito Italiano. C.I.G. (Codice Identificativo Gara): ZEOOCF2C15.</t>
  </si>
  <si>
    <t>Oto Melara S.p.A.</t>
  </si>
  <si>
    <t>Ministero della Difesa Direzione degli Armamenti Aeronautici</t>
  </si>
  <si>
    <t>012368a3-79cb-4b99-811c-cf36efdb1bb2</t>
  </si>
  <si>
    <t>Framework service contract for Copernicus emergency management service rapid mapping.</t>
  </si>
  <si>
    <t>e-Geos SpA</t>
  </si>
  <si>
    <t>e2bff634-db78-434a-9b07-6a5827333520</t>
  </si>
  <si>
    <t>Podvěsná výzbroj</t>
  </si>
  <si>
    <t>Omnipol, a.s.</t>
  </si>
  <si>
    <t>Vojenský technický ústav, s.p.</t>
  </si>
  <si>
    <t>b27b7d19-4eef-4bcc-abbe-771f6bdfe3ac</t>
  </si>
  <si>
    <t>Brýle nočního vidění - nákup</t>
  </si>
  <si>
    <t>GLOMEX MS, s.r.o.</t>
  </si>
  <si>
    <t>Česká republika – Ministerstvo obrany</t>
  </si>
  <si>
    <t>cd1e3653-c75c-4321-9038-e690cc197d99</t>
  </si>
  <si>
    <t>Rolls Royce Deutschland Ltd. &amp; Co. KG</t>
  </si>
  <si>
    <t>36245af5-3f31-445c-88ff-c2786d23b2d9</t>
  </si>
  <si>
    <t>Honeywell Aerospace GmbH</t>
  </si>
  <si>
    <t>e79be069-b8d8-4e1b-920d-c96f733da639</t>
  </si>
  <si>
    <t>Nord Micro AG &amp; Co. OHG</t>
  </si>
  <si>
    <t>5916ac59-303f-4830-8f78-b0ed513179ce</t>
  </si>
  <si>
    <t>Sun Test Systems B.V.</t>
  </si>
  <si>
    <t>465b41dd-a1f1-414e-94ec-176479745690</t>
  </si>
  <si>
    <t>Honeywell Regelsysteme GmbH</t>
  </si>
  <si>
    <t>b56d4bb3-261e-40ea-8e10-d610b8dc52f7</t>
  </si>
  <si>
    <t>Eaton Germany GmbH</t>
  </si>
  <si>
    <t>66102e38-2bc6-4616-a795-a04959dcaa08</t>
  </si>
  <si>
    <t>7ec9adf8-b5b9-4142-98b2-767d4eaa9b2e</t>
  </si>
  <si>
    <t>8ac6f31b-e452-4684-8db0-d3ac247e45b3</t>
  </si>
  <si>
    <t>826dabdc-b1d3-4185-82ce-60582c8c9e4a</t>
  </si>
  <si>
    <t>58c4de2d-9cc3-45d5-8c19-074285af0e2a</t>
  </si>
  <si>
    <t>Ersatzteilbeschaffung (Ersatzteilfolgebedarf).</t>
  </si>
  <si>
    <t>71444e42-17d6-483f-89b9-85a893c41ee5</t>
  </si>
  <si>
    <t>74e048c6-9a93-4058-9412-34adb89bb6f9</t>
  </si>
  <si>
    <t>Kartusche SE-S Schloss</t>
  </si>
  <si>
    <t>d683a694-cebd-4d5b-9b25-e1a0136f2dc2</t>
  </si>
  <si>
    <t>WS P-3C Orion - Konstruktive Voruntersuchung IFF-Systemintegration AN/APC und KIV-77.</t>
  </si>
  <si>
    <t>Raytheon Deutschland GmbH</t>
  </si>
  <si>
    <t>f75a5706-8e1a-46c3-a231-0b12067e4593</t>
  </si>
  <si>
    <t>3c150d8f-7313-4f3b-bcfa-d2af660ffb35</t>
  </si>
  <si>
    <t>Mittelschnelle Flugzieldarstellung mit Live-EK-Ausbildung</t>
  </si>
  <si>
    <t>GFD GmbH</t>
  </si>
  <si>
    <t>2f8c37ba-f8e5-43f5-b3e3-d65c80b97d44</t>
  </si>
  <si>
    <t>Hoovercraft 2000 GmbH</t>
  </si>
  <si>
    <t>e8c67716-85aa-4a4b-82cb-7fad98ec676b</t>
  </si>
  <si>
    <t>e89836ef-a0f0-4024-9b5e-643919125ebf</t>
  </si>
  <si>
    <t>d73909f6-bf10-404f-907a-55ef020aba8a</t>
  </si>
  <si>
    <t>GSOC Enhanced Command- and Control System for Operating Spacecrafts (GECCOS), Maintenance and</t>
  </si>
  <si>
    <t>Siemens Convergence Creators GmbH</t>
  </si>
  <si>
    <t>German Aerospace Center</t>
  </si>
  <si>
    <t>1da9092a-7909-496a-942a-2c19e657ded1</t>
  </si>
  <si>
    <t>Bucher Schörling GmbH</t>
  </si>
  <si>
    <t>698d1f6f-893d-4be8-86c9-36b005fc4e46</t>
  </si>
  <si>
    <t>c0dc7d32-6372-4d5b-a7e1-425b8b361a8a</t>
  </si>
  <si>
    <t>Purchase of maintenance parts for the year 2014.</t>
  </si>
  <si>
    <t>22a170ff-7d08-449a-b6e8-d4e26c78850c</t>
  </si>
  <si>
    <t>7e97d6a0-453f-4571-906c-48220d0d0827</t>
  </si>
  <si>
    <t>Additional services for CSN.</t>
  </si>
  <si>
    <t>European Space Imaging GmbH</t>
  </si>
  <si>
    <t>European Maritime Safety Agency</t>
  </si>
  <si>
    <t>5cd9feb0-f6a5-4ca1-b585-b890971214a5</t>
  </si>
  <si>
    <t>Provision of Radarsat satellite program licenses for EMSA Earth observation services.</t>
  </si>
  <si>
    <t>McDonald Dettwiller Associates Geospatial Services Inc. (MDA GSI Inc.)</t>
  </si>
  <si>
    <t>a6a5c773-2f25-4466-81fc-5ce442172c56</t>
  </si>
  <si>
    <t>Suministro de maleta de análisis de vibraciones y equilibrado de Fan para el TURBOFAN TFE731-2-2J</t>
  </si>
  <si>
    <t>EOLE INGENIERIA Y SISTEMAS S.L.</t>
  </si>
  <si>
    <t>46212.5</t>
  </si>
  <si>
    <t>2c1f0027-230e-4edb-9820-65969b1cbb30</t>
  </si>
  <si>
    <t>EGNOS v2 — Security Risk Analysis.</t>
  </si>
  <si>
    <t>CGI IT UK Ltd</t>
  </si>
  <si>
    <t>European Commission, represented by the European Space Agency</t>
  </si>
  <si>
    <t>ac3518e9-aa65-4dca-baf3-ebb56583c289</t>
  </si>
  <si>
    <t>Dossier 17139 - Fabrications ou modifications de pièces de sous-ensemble de structure d'aéronefs relevant des métiers de la chaudronnerie aéronautique pour les ateliers industriels de l'aéronautique de Cuers-Pierrefeu et de Clermont-Ferrand</t>
  </si>
  <si>
    <t>none</t>
  </si>
  <si>
    <t>Accords-cadres :VENTANA ARGENTEUIL - REVIMA - AERO 13 - BRONZAVIA INDUSTRIE</t>
  </si>
  <si>
    <t>MINDEF/AIR/SIAé</t>
  </si>
  <si>
    <t>Accords-cadres :POTEZ AERONAUTIQUE - VENTANA ARGENTEUIL - REVIMA - AERO 13BRONZAVIA INDUSTRIE</t>
  </si>
  <si>
    <t>9a79fe02-9b6d-4e89-a132-ee2daf6ec786</t>
  </si>
  <si>
    <t>ZP39-129007 - Wykonanie i dostawa zobrazowań satelitarnych wybranych obszarów leśnych</t>
  </si>
  <si>
    <t>135076.93</t>
  </si>
  <si>
    <t>ProGea Consulting Piotr Wężyk</t>
  </si>
  <si>
    <t>Instytut Badawczy Leśnictwa</t>
  </si>
  <si>
    <t>8d57f059-b162-48d8-a176-e0f326c56914</t>
  </si>
  <si>
    <t>Forbrugsvarer til F-16, C-130J og Seahawk helikoptere og hertil hørende undersystemer</t>
  </si>
  <si>
    <t>Air Force Security Centre</t>
  </si>
  <si>
    <t>fe268f63-cbc8-4f04-add9-a7c7bb9bb66e</t>
  </si>
  <si>
    <t>Supplerende anskaffelse af 6 sæt Leading Edge Flaps til forsvarets F-16 fly</t>
  </si>
  <si>
    <t>IL</t>
  </si>
  <si>
    <t>Elbit Systems - Cyclone Ltd.</t>
  </si>
  <si>
    <t>87d34b2d-d423-4e5d-abd4-ff82bbcc4107</t>
  </si>
  <si>
    <t>Acquisition of actuators and torque shafts to the Royal Danish Air Force F-16 aircrafts.</t>
  </si>
  <si>
    <t>Danish Defence Acquisition and Logistics Organization</t>
  </si>
  <si>
    <t>e1b4c1a6-51bf-4790-98b1-a1ef5e6786c6</t>
  </si>
  <si>
    <t>Hornetin Litening AT-sensorijärjestelmän varaosien hankinta</t>
  </si>
  <si>
    <t>Northrop Grumman International Trading Inc.</t>
  </si>
  <si>
    <t>e79023b2-f484-4bb4-9c39-f36c06258245</t>
  </si>
  <si>
    <t>Tehovipupäiden hankinta Hawk-kalustoon</t>
  </si>
  <si>
    <t>Patria Aviation Oy</t>
  </si>
  <si>
    <t>5a7df7ba-b762-4bee-a0cf-d2b23fe72dc9</t>
  </si>
  <si>
    <t>PC-12/47E-lentokoneen varaosia.</t>
  </si>
  <si>
    <t>Leki Aviation</t>
  </si>
  <si>
    <t>Puolustusvoimat</t>
  </si>
  <si>
    <t>Pilatus Aircraft Ltd</t>
  </si>
  <si>
    <t>Lowland Aerospace</t>
  </si>
  <si>
    <t>NorcaTec</t>
  </si>
  <si>
    <t>Consector Ltd</t>
  </si>
  <si>
    <t>Airline Management Technologies</t>
  </si>
  <si>
    <t>beeca892-a5d6-4fce-82a8-c86a3e96c070</t>
  </si>
  <si>
    <t>F/A-18 Hornet-hävittäjäkaluston laskutelienjärjestelmän kulutusvaraosien hankinta, 4000001188</t>
  </si>
  <si>
    <t>1613485.08</t>
  </si>
  <si>
    <t>Blue Aerospace</t>
  </si>
  <si>
    <t>2812284.11</t>
  </si>
  <si>
    <t>583928.27</t>
  </si>
  <si>
    <t>85683.08</t>
  </si>
  <si>
    <t>529187.68</t>
  </si>
  <si>
    <t>NorcaTec LLC</t>
  </si>
  <si>
    <t>9f5cf7c7-7cb8-4bf5-a177-ade4c0e311ba</t>
  </si>
  <si>
    <t>Anskaffelse af pyroteknisk udstyr til brug for nødevakuerings, - brandsluknings- og frigørelsessystemer på F16, C130J og SeaHawk</t>
  </si>
  <si>
    <t>Air Force Security Assistance Center, Wright-Patterson Air Force Base</t>
  </si>
  <si>
    <t>7a9d9d2a-5075-4e0e-bd9b-ea4b5d121e20</t>
  </si>
  <si>
    <t>Contract Award Notice — Variable Message Format Data Modems.</t>
  </si>
  <si>
    <t>Stauder Technologies</t>
  </si>
  <si>
    <t>6d49c631-0d2c-43a0-8e4a-eecf636118ec</t>
  </si>
  <si>
    <t>JN 615/2021 - Contracted Services for the Maintenance and Support of Navigational Systems, Vessel Sensors, Command, Control and Communication Networks</t>
  </si>
  <si>
    <t>Irish Naval Service</t>
  </si>
  <si>
    <t>5fce0756-6361-4982-ac24-5155322b5d46</t>
  </si>
  <si>
    <t>15.CAT.OP.001 'Governmental satellite communication (Govsatcom).'</t>
  </si>
  <si>
    <t>Euroconsult SA</t>
  </si>
  <si>
    <t>European Defence Agency</t>
  </si>
  <si>
    <t>4dd7cb09-70a8-49cd-9d6d-22be1793ebf0</t>
  </si>
  <si>
    <t>Modifiering AMU/ACP till Config 5.</t>
  </si>
  <si>
    <t>FMV</t>
  </si>
  <si>
    <t>97963d79-43e0-45bb-a69c-6c7fc6be64f6</t>
  </si>
  <si>
    <t>Study of future Galileo infrastructure optimisations for services provision.</t>
  </si>
  <si>
    <t>Deimos Space, S.L.U.</t>
  </si>
  <si>
    <t>aed7490a-c443-4269-b87a-b2d70faddd81</t>
  </si>
  <si>
    <t>Standardisation of local augmentation systems for Galileo.</t>
  </si>
  <si>
    <t>France Développement Conseil</t>
  </si>
  <si>
    <t>b01fb961-f744-4638-87d6-13522bf3b541</t>
  </si>
  <si>
    <t>CH-47 APU MRO</t>
  </si>
  <si>
    <t>Not awarded — tender terminated</t>
  </si>
  <si>
    <t>Ministerie van Defensie</t>
  </si>
  <si>
    <t>a0528702-a4e3-414e-a406-65ffaa20f009</t>
  </si>
  <si>
    <t>CH47 Avionics Component Repairables</t>
  </si>
  <si>
    <t>Ministry of Defence</t>
  </si>
  <si>
    <t>MRO Aerospace Inc</t>
  </si>
  <si>
    <t>NED Aero</t>
  </si>
  <si>
    <t>Intertrade, A Rockwell Collins company</t>
  </si>
  <si>
    <t>2a89d8b3-07a7-4f83-a4a8-b05bdd8f5f8a</t>
  </si>
  <si>
    <t>EGNOS programme technical management support.</t>
  </si>
  <si>
    <t>SpaceTec Capital Partners GMBH</t>
  </si>
  <si>
    <t>085274b4-6614-42ad-b3cc-29d5b6b2b8ef</t>
  </si>
  <si>
    <t>Contract for monitoring of GNSS patenting activity.</t>
  </si>
  <si>
    <t>Katholieke Universiteit Leuven (KUL)</t>
  </si>
  <si>
    <t>d999348e-4544-4627-83d2-99517de32c74</t>
  </si>
  <si>
    <t>Integrity of GNSS receivers.</t>
  </si>
  <si>
    <t>1f1eed75-692c-48e4-bb41-badc29baad3e</t>
  </si>
  <si>
    <t>Risk advisory services for the EU GNSS programmes.</t>
  </si>
  <si>
    <t>BearingPoint France SAS</t>
  </si>
  <si>
    <t>60738fef-c7bd-4190-b757-e6cea9e5d5d6</t>
  </si>
  <si>
    <t>[MS 28775-129] Inel O</t>
  </si>
  <si>
    <t>a08f28f9-0639-4a9b-a95d-7bb47d35bceb</t>
  </si>
  <si>
    <t>INEL ETANSARE LEG 2 CU REZ. NR. 7 - 155N607-29.6-3.2-2</t>
  </si>
  <si>
    <t>8226b028-8eb7-4a5a-98b0-ac97106c4eac</t>
  </si>
  <si>
    <t>6fff0b7f-8aea-41db-ae8b-0307e9b7e3a8</t>
  </si>
  <si>
    <t>e1999184-eb17-4490-a8ae-014d8c8e5d12</t>
  </si>
  <si>
    <t>Garnitura 76-5505-546-6 GARNITURA 94-6402-161</t>
  </si>
  <si>
    <t>1691.57</t>
  </si>
  <si>
    <t>0d11d135-7119-4eff-9e06-7a5deb9453a3</t>
  </si>
  <si>
    <t>Membrana 76-5505-592</t>
  </si>
  <si>
    <t>519.81</t>
  </si>
  <si>
    <t>c7b3d42b-5ce3-45ef-8f27-a6f5b2cc2310</t>
  </si>
  <si>
    <t>Inel etansare 2263A10-1</t>
  </si>
  <si>
    <t>ac622978-935c-4155-ad48-ef6a1cb8868c</t>
  </si>
  <si>
    <t>Inel etansare 4324-155N607-33.4-5.4-2</t>
  </si>
  <si>
    <t>104.23</t>
  </si>
  <si>
    <t>474e64af-095d-4d95-807d-111728cba374</t>
  </si>
  <si>
    <t>Bucsa E6-4901-62</t>
  </si>
  <si>
    <t>133.12</t>
  </si>
  <si>
    <t>17fbfa0f-7f97-45bf-bbbb-fa8e593d88a3</t>
  </si>
  <si>
    <t>790abc7c-7f96-4fc4-926a-51c6558047fc</t>
  </si>
  <si>
    <t>GARNITURA CAUCIUC LEGATURA ROBINET-COT ASL - 74-0200-1005</t>
  </si>
  <si>
    <t>8772cedc-9bf4-4748-a02b-7d843c33b7a6</t>
  </si>
  <si>
    <t>Splint 1.6x20 DIN94 A2</t>
  </si>
  <si>
    <t>d47b88ac-80fc-46d0-83ed-a5033de25c73</t>
  </si>
  <si>
    <t>Garnitura 2263A-22-1</t>
  </si>
  <si>
    <t>234.23</t>
  </si>
  <si>
    <t>d9fbd4e6-249e-4446-b6e3-55c9e0ef6d11</t>
  </si>
  <si>
    <t>513.24</t>
  </si>
  <si>
    <t>fb2b2215-af9d-490c-b137-92e68bc42858</t>
  </si>
  <si>
    <t>INEL ETANSARE LEG 2 CU REZ. NR. 3 SUP - 76-6100-305</t>
  </si>
  <si>
    <t>cad5d792-c9d6-4ff3-8609-9bd245018449</t>
  </si>
  <si>
    <t>INEL ETANSATE CAPAC ACUMULATOR SFERIC - 155N607-89-3-2</t>
  </si>
  <si>
    <t>246255f5-cc2f-4186-b647-10d79d8ebf0e</t>
  </si>
  <si>
    <t>Inel etansare 155N607-49.4-5.4</t>
  </si>
  <si>
    <t>24dcd3e3-ae73-438a-85df-a25e134e67b5</t>
  </si>
  <si>
    <t>16fea618-4217-4c80-b224-620ca9bcb13f</t>
  </si>
  <si>
    <t>[84426-16] Garnitura etansare zona pompei hidraulice</t>
  </si>
  <si>
    <t>319a3655-1b0c-4532-8b21-e04cf757c0c3</t>
  </si>
  <si>
    <t>Inel etansare 2609552-18-2-1078</t>
  </si>
  <si>
    <t>c172340d-6010-46d0-b597-0b6ac5f6fab6</t>
  </si>
  <si>
    <t>Garnituri reper 76-5505-546-13</t>
  </si>
  <si>
    <t>546.88</t>
  </si>
  <si>
    <t>d9409ee0-893d-4c72-959a-5663a5e86ccd</t>
  </si>
  <si>
    <t>Pachet cf anunt ADV1003036</t>
  </si>
  <si>
    <t>439.79</t>
  </si>
  <si>
    <t>QUARTZ MATRIX</t>
  </si>
  <si>
    <t>Unitatea Militara 01110 IASI</t>
  </si>
  <si>
    <t>d43f49cd-c42c-4868-b476-400dd10d2780</t>
  </si>
  <si>
    <t>Rezervor hidraulic BRP</t>
  </si>
  <si>
    <t>519.14</t>
  </si>
  <si>
    <t>b3de9072-e069-43fe-954e-c41e6f425107</t>
  </si>
  <si>
    <t>Splint inox 1.6x40</t>
  </si>
  <si>
    <t>8efc07ad-8863-4b76-8860-a5ce1f3b9129</t>
  </si>
  <si>
    <t>Garnitura 0D87-9-2S</t>
  </si>
  <si>
    <t>231.72</t>
  </si>
  <si>
    <t>dfbe134c-821a-48ac-98b0-3bc6c03bf9ac</t>
  </si>
  <si>
    <t>Thermal coating E-400F</t>
  </si>
  <si>
    <t>1880.41</t>
  </si>
  <si>
    <t>29b6030c-f0d2-4e15-88d9-589463e67ac1</t>
  </si>
  <si>
    <t>Saiba 34M51-20-16,2-2</t>
  </si>
  <si>
    <t>bd581805-1eae-4b42-85b7-4998f42c9313</t>
  </si>
  <si>
    <t>Bucsa E6-4901-281</t>
  </si>
  <si>
    <t>197.72</t>
  </si>
  <si>
    <t>4f75c2a5-eee8-4c31-8dd4-ce48905b285a</t>
  </si>
  <si>
    <t>Siguranta 0247100</t>
  </si>
  <si>
    <t>bb6a598c-d0df-491e-ad90-147c11eced8a</t>
  </si>
  <si>
    <t>PANTALON ANTI-G, COD Mk 10,pt IAR 99 SOIM</t>
  </si>
  <si>
    <t>CONDOR S.A.</t>
  </si>
  <si>
    <t>1859f7fa-dafa-4c86-a20b-14a697f11d55</t>
  </si>
  <si>
    <t>Bec BANO-45 28V 21W</t>
  </si>
  <si>
    <t>862.84</t>
  </si>
  <si>
    <t>e9f5ff88-7102-48cf-bd7b-d064a972ae4a</t>
  </si>
  <si>
    <t>Inel etansare 0257623 si Inel etansare 0257634</t>
  </si>
  <si>
    <t>2089.38</t>
  </si>
  <si>
    <t>d229fd92-a976-40a9-bb4f-62a7ebb55047</t>
  </si>
  <si>
    <t>[330A31-1151-01] Rezervor</t>
  </si>
  <si>
    <t>1709.59</t>
  </si>
  <si>
    <t>a4436473-2a37-4c3c-ac40-8844adea4de9</t>
  </si>
  <si>
    <t>[330A51.0128.20 (4.510128.20)] Ax biela GTM</t>
  </si>
  <si>
    <t>481.36</t>
  </si>
  <si>
    <t>d83e94a2-e93a-4dee-8638-a6aa3d543695</t>
  </si>
  <si>
    <t>209502c0-4372-4728-8cfd-109cda91e12e</t>
  </si>
  <si>
    <t>Garnitura 2263A-3-1</t>
  </si>
  <si>
    <t>5abf253c-09bd-4ff0-9b86-58577f12eb53</t>
  </si>
  <si>
    <t>481608df-506e-4972-a239-c0bb30295e13</t>
  </si>
  <si>
    <t>Achizitie piese auto</t>
  </si>
  <si>
    <t>Diana MDI International</t>
  </si>
  <si>
    <t>Ministerul Apararii Nationale - Unitatea Militara 02267</t>
  </si>
  <si>
    <t>252a14e4-3f65-47bb-88db-512be44b3998</t>
  </si>
  <si>
    <t>Garnitura 94-6100-1075</t>
  </si>
  <si>
    <t>f48049a7-53a0-4dce-94de-e4f1f1da4177</t>
  </si>
  <si>
    <t>Punte de metalizare cu 2 papuci 200N2-12-150</t>
  </si>
  <si>
    <t>86a60c3b-acbf-40fe-9ab4-ff72e7fa5ae7</t>
  </si>
  <si>
    <t>BANDA SISTEM TRANARE AERONAVE BAK12</t>
  </si>
  <si>
    <t>72854.27</t>
  </si>
  <si>
    <t>ARIES COMERT &amp; INDUSTRIE</t>
  </si>
  <si>
    <t>629ec318-c27d-439a-8ca4-2fe2c0100065</t>
  </si>
  <si>
    <t>Conducte flexibile</t>
  </si>
  <si>
    <t>5326.93</t>
  </si>
  <si>
    <t>9e74ad38-f4a6-4e14-8483-d18255f34367</t>
  </si>
  <si>
    <t>8d36ce94-9893-407f-b699-3546788fb331</t>
  </si>
  <si>
    <t>7f382122-e012-4ba0-9bf2-40f791a6291e</t>
  </si>
  <si>
    <t>f9d3b6d5-8935-43b4-b8de-4c384ddb9a0e</t>
  </si>
  <si>
    <t>CONDUCTA FLAPS - 94-5512-10-56</t>
  </si>
  <si>
    <t>133.69</t>
  </si>
  <si>
    <t>9e4fb808-b079-4be6-ad91-487a1cd22e1c</t>
  </si>
  <si>
    <t>Punte de metalizare cu 2 papuci 200N2-12-140</t>
  </si>
  <si>
    <t>33ad8280-c9bd-4b5d-80ce-f96300a31b99</t>
  </si>
  <si>
    <t>75b6c17a-e435-4bcd-b542-8eb1022a4fdc</t>
  </si>
  <si>
    <t>7fdaee41-667c-4db9-8fcc-c932d1ef2d29</t>
  </si>
  <si>
    <t>a7528bb4-827b-4df8-8304-0690f028a1c3</t>
  </si>
  <si>
    <t>b1e2fe38-262d-412f-b1ba-e1c4c2dc8a37</t>
  </si>
  <si>
    <t>eeb99b79-8fd0-4d63-bad6-5c50361cf8b2</t>
  </si>
  <si>
    <t>[84426-12] Garnitura etansare zona pompei hidraulic</t>
  </si>
  <si>
    <t>dcc911f5-9f52-427f-be77-7a324878fc95</t>
  </si>
  <si>
    <t>114.54</t>
  </si>
  <si>
    <t>1e65d62a-13b9-475e-ab37-42e926affdcf</t>
  </si>
  <si>
    <t>ETANSANT PS 870 B1/2</t>
  </si>
  <si>
    <t>534.59</t>
  </si>
  <si>
    <t>cb6e6f43-937e-4ee0-98ed-981251703cca</t>
  </si>
  <si>
    <t>45cfd5a6-5421-42cc-8eeb-72f4cae19ca0</t>
  </si>
  <si>
    <t>86144c6f-97e5-41d8-bf75-9f229d15a492</t>
  </si>
  <si>
    <t>20eaac90-2665-4390-b65c-09e7ea1ea1ae</t>
  </si>
  <si>
    <t>1757.8</t>
  </si>
  <si>
    <t>f4735ae3-024a-4c08-8aea-659b540e4893</t>
  </si>
  <si>
    <t>Sarma zincata</t>
  </si>
  <si>
    <t>199.16</t>
  </si>
  <si>
    <t>dc4492a5-ef98-4955-a58b-ef3b82502c0d</t>
  </si>
  <si>
    <t>GARNITURI ASL 74-0200-1005</t>
  </si>
  <si>
    <t>348.81</t>
  </si>
  <si>
    <t>82f413e8-98ae-4199-8915-f9e0835440b9</t>
  </si>
  <si>
    <t>AX POMPA HIDRAULICA</t>
  </si>
  <si>
    <t>METAL CONDOMINIUM S.R.L.</t>
  </si>
  <si>
    <t>3ccad9b0-641c-42fe-b497-53dd8f95acb6</t>
  </si>
  <si>
    <t>Saiba E2-4100-05</t>
  </si>
  <si>
    <t>10f9569b-a3fc-4470-8626-6b5fad204bc6</t>
  </si>
  <si>
    <t>Conducta 94-5511-20-52</t>
  </si>
  <si>
    <t>888.08</t>
  </si>
  <si>
    <t>8f5bc773-a83e-4a99-a83c-5566d3c8217d</t>
  </si>
  <si>
    <t>Element fibrant abs.hidraulica AC4825FUP1211</t>
  </si>
  <si>
    <t>70aaaba7-4ffe-4570-a256-d74b6c5bc45a</t>
  </si>
  <si>
    <t>Garnitura DD5000-0003-01</t>
  </si>
  <si>
    <t>786.73</t>
  </si>
  <si>
    <t>247feef6-c825-449a-a833-39963a2cb945</t>
  </si>
  <si>
    <t>CONDUCTA FLEXIBILA ABSORTIE IHA - 94-5511-570A</t>
  </si>
  <si>
    <t>499.87</t>
  </si>
  <si>
    <t>1f8a40bf-023a-43f6-ab9d-e6657ba89163</t>
  </si>
  <si>
    <t>f4d5e121-d1df-42c1-9aa0-24468384bd6e</t>
  </si>
  <si>
    <t>c4bb411d-e08e-40f1-be3a-bf176b85d5ed</t>
  </si>
  <si>
    <t>Piulite cu autoasigurantare</t>
  </si>
  <si>
    <t>ea877c29-865b-4b90-a006-fa03ab0b7656</t>
  </si>
  <si>
    <t>INEL ETANSARE REZERVOR HIDRAULIC - 115N607-15.6-3.25</t>
  </si>
  <si>
    <t>8e58222c-d382-4808-9dec-c2959cead665</t>
  </si>
  <si>
    <t>Executie gaura pentru sigurantare Furca parasuta franare</t>
  </si>
  <si>
    <t>93439ee3-014b-4d53-ab1c-86e3d5f671b2</t>
  </si>
  <si>
    <t>adb14035-5bd0-4ed1-bf95-ca2274732ccb</t>
  </si>
  <si>
    <t>Inel"O" arbore CTP</t>
  </si>
  <si>
    <t>104.83</t>
  </si>
  <si>
    <t>106a8ed1-b1bf-4e1e-8f70-51929e3b3fa3</t>
  </si>
  <si>
    <t>Inel etansare 0257753</t>
  </si>
  <si>
    <t>b8f8a11e-66de-49c1-a54c-db8d910e7b41</t>
  </si>
  <si>
    <t>SPLINT INOX 1,2 X 40</t>
  </si>
  <si>
    <t>20d20605-cbb1-4128-9edb-cce6c6dd39b4</t>
  </si>
  <si>
    <t>166d4b54-041b-420a-a006-017112183dde</t>
  </si>
  <si>
    <t>4ec368c9-d490-4aaf-8d16-65b634a3e588</t>
  </si>
  <si>
    <t>Punte de metalizare cu 2 papuci 200N2-1-190</t>
  </si>
  <si>
    <t>c2a613a8-5d09-4c74-b561-7bc097fb89a4</t>
  </si>
  <si>
    <t>Punte de metalizare cu 2 papuci 200N2-1-110</t>
  </si>
  <si>
    <t>d5f547a5-98ad-426d-8f7a-00279b2325f7</t>
  </si>
  <si>
    <t>Inel etansare 0253253</t>
  </si>
  <si>
    <t>8231649b-3668-41f7-8fda-b31109758008</t>
  </si>
  <si>
    <t>Inel etansare E7-4102-105-1</t>
  </si>
  <si>
    <t>5cc39e00-5884-4ac9-9407-bcba73ded9bb</t>
  </si>
  <si>
    <t>Splint inox 2.5x32</t>
  </si>
  <si>
    <t>f9efa0b0-4942-492e-bf5c-4a0a2173dab4</t>
  </si>
  <si>
    <t>[330A31-1583-20] Siguranta</t>
  </si>
  <si>
    <t>f9e088bd-144b-4b9c-ae1b-bb4c2e0bcb87</t>
  </si>
  <si>
    <t>Sarma zincata Φ0.5</t>
  </si>
  <si>
    <t>b9bfa544-ebf8-4bc9-b724-2b3188cdaa72</t>
  </si>
  <si>
    <t>030d59f3-d142-4c6e-8e51-ee8d9ab7191b</t>
  </si>
  <si>
    <t>359.95</t>
  </si>
  <si>
    <t>2deff760-495b-423d-af44-b6ae58a1817e</t>
  </si>
  <si>
    <t>Inel "O"ringelectrorobinet separare servo spate,electrorobinet troliu,electrovana</t>
  </si>
  <si>
    <t>e98bef9e-a0b7-43fa-a2ab-b26b35c35c01</t>
  </si>
  <si>
    <t>Saiba siguranta (filtre servo)</t>
  </si>
  <si>
    <t>53b1213f-0ba5-43c9-ae8f-3aab1de27839</t>
  </si>
  <si>
    <t>Garnitura 76-6103-144</t>
  </si>
  <si>
    <t>2f504118-1418-4bab-93c5-412a5acae039</t>
  </si>
  <si>
    <t>Inel 3405A-5-10-20</t>
  </si>
  <si>
    <t>6f2a317a-1617-4163-bd85-0049564cd78f</t>
  </si>
  <si>
    <t>4b62bff4-9450-4504-8985-a83084f5829e</t>
  </si>
  <si>
    <t>[23134AG080LE] Saibe montare pompa hidraulica</t>
  </si>
  <si>
    <t>1fdeb4c5-62ec-4ac7-a287-a32cc285c9b5</t>
  </si>
  <si>
    <t>f22ca799-6577-4c7f-b522-13c29c073617</t>
  </si>
  <si>
    <t>SPLINT INOX 2 X 32</t>
  </si>
  <si>
    <t>679151db-d459-4a9a-aa42-2661a0288ae2</t>
  </si>
  <si>
    <t>Set nervuri bord de atac aripa - 10 bucati</t>
  </si>
  <si>
    <t>AEROCLUBUL ROMANIEI</t>
  </si>
  <si>
    <t>16399e0d-ee0c-415f-9f81-77ac9964b1a3</t>
  </si>
  <si>
    <t>Servicu de reparatie modul alimenatre TSA 1011/1015</t>
  </si>
  <si>
    <t>1577.06</t>
  </si>
  <si>
    <t>3ecf638c-d3f6-452a-9328-d883a2d8191c</t>
  </si>
  <si>
    <t>CASETE TREN ATERIZARE XR53-10-1150</t>
  </si>
  <si>
    <t>405.13</t>
  </si>
  <si>
    <t>5b87c5b0-e440-449d-8cf7-daed31a5b2d6</t>
  </si>
  <si>
    <t>Garnitura 76-5505-546-13</t>
  </si>
  <si>
    <t>553.24</t>
  </si>
  <si>
    <t>ca236dcd-843b-4969-8f72-06cf8a8abb28</t>
  </si>
  <si>
    <t>Conducta E6U-5511-6030-637</t>
  </si>
  <si>
    <t>758.34</t>
  </si>
  <si>
    <t>39401be3-1392-4b11-8d8a-74a3b09d602a</t>
  </si>
  <si>
    <t>3baf8d42-9a40-4217-a40f-75e818f89e3f</t>
  </si>
  <si>
    <t>1c5b6280-dbbb-4c3b-b209-e15eaa1b8f48</t>
  </si>
  <si>
    <t>Capac cauciuc</t>
  </si>
  <si>
    <t>262.59</t>
  </si>
  <si>
    <t>db824af2-ce7e-49f1-bc0b-2d75e5e37cb6</t>
  </si>
  <si>
    <t>c3ab6188-65e4-4d20-a45b-c684f30721cb</t>
  </si>
  <si>
    <t>75228ac9-aba8-4b7b-af52-5fe629858b5f</t>
  </si>
  <si>
    <t>4a15e008-d945-450e-a844-adbfff15db1f</t>
  </si>
  <si>
    <t>INEL DE ETANSARE STUT FILTRU HIDRAULIC REPER 11GF4SN-1 - 212004</t>
  </si>
  <si>
    <t>3cfabdd6-9204-4d4d-a020-7eba8ffde115</t>
  </si>
  <si>
    <t>[330A33-0106-20] Burduf</t>
  </si>
  <si>
    <t>01a7eb43-eab6-44b5-a156-50b49eec2a09</t>
  </si>
  <si>
    <t>Punte de metalizare cu 2 papuci 200N2-1-130</t>
  </si>
  <si>
    <t>a8485d2c-5f37-4e25-8715-4b669116e6a7</t>
  </si>
  <si>
    <t>c8e50f9e-cb72-43c5-95d7-c82e0cf54467</t>
  </si>
  <si>
    <t>146ccaec-7272-414f-b298-f64e9a49fa59</t>
  </si>
  <si>
    <t>AX SUSPENSIE S52.54.218</t>
  </si>
  <si>
    <t>7369f2eb-cae5-403b-aef8-25c0fda13ce2</t>
  </si>
  <si>
    <t>[23350AC040LE] Siguranta</t>
  </si>
  <si>
    <t>3e39473d-d571-4fc9-a01f-416985468c73</t>
  </si>
  <si>
    <t>d62bd97d-af51-41cb-9f14-fb2a65cd17b7</t>
  </si>
  <si>
    <t>INEL ETANSARE REZERVOR HIDRAULIC - 155N607-25.6-3.25</t>
  </si>
  <si>
    <t>8e2ffd80-9e91-4969-b585-676f69008ce6</t>
  </si>
  <si>
    <t>7f79bb38-27af-4ea5-837f-5024495d68c4</t>
  </si>
  <si>
    <t>NAKUP OPREME ZA SPUŠČANJE PO VRVI (FAST ROPE) ZA AS532AL COUGAR HELIKOPTER (MORS 53/2022-ON-PSPb)</t>
  </si>
  <si>
    <t>Airbus Helicopters</t>
  </si>
  <si>
    <t>Ministrstvo za obrambo Republike Slovenije</t>
  </si>
  <si>
    <t>3112c2a6-5ad0-456c-9e0b-5033c871a3e7</t>
  </si>
  <si>
    <t>Framework contract for ground-based observations collection (GBOC) for Copernicus global land products validation.</t>
  </si>
  <si>
    <t>342a81a0-74c7-488e-a5c7-a51ace227be5</t>
  </si>
  <si>
    <t>Approvvigionamento, in ambito UE/WTO, suddiviso in n. 6 lotti, di combustibile avio tipo JET-A1 per i depositi costieri A.M. di Taranto e Porto S. Stefano ed i terminali marini di La Spezia e Trapani Birgi; JP.8 per le basi aeree di Decimomannu, Pisa e Pratica di Mare; benzina avio grado 100/130 per la Base aerea di Latina e combustibile avio tipo JP.5 per il Deposito POL di San Cusumano (Augusta).</t>
  </si>
  <si>
    <t>Saras S.p.A.</t>
  </si>
  <si>
    <t>AIR BP Italia SpA</t>
  </si>
  <si>
    <t>Conqord Oil SpA</t>
  </si>
  <si>
    <t>a16898c4-b285-42a1-a0fe-57ceb9fa474f</t>
  </si>
  <si>
    <t>Framework contract for the supply of satellite remote sensing data and associated services in support to checks within the common agricultural policy (CAP) — 'topographic' VHR profile ('VHR+ profile').</t>
  </si>
  <si>
    <t>40bc10b6-5484-451b-aec2-afbf87973628</t>
  </si>
  <si>
    <t>26532ab9-ca21-49cf-9d20-4de9940e3bf9</t>
  </si>
  <si>
    <t>TerraSAR-X/TanDEM-X/PAZ License Provision for EMSA Earth Observation Services</t>
  </si>
  <si>
    <t>Airbus Defence and Space GmbH</t>
  </si>
  <si>
    <t>4e5e4417-398c-408c-bc36-de411f3b33fe</t>
  </si>
  <si>
    <t>Radarsat-2 License Provision for EMSA Earth Observation Services</t>
  </si>
  <si>
    <t>MDA GSI Geospacial Services Inc.</t>
  </si>
  <si>
    <t>e871fa67-529c-4415-a5fa-82de61125e46</t>
  </si>
  <si>
    <t>TerraSAR-X/TanDEM-X/PAZ license provision for EMSA earth observation services.</t>
  </si>
  <si>
    <t>Infoterra GmbH/AIRBUS Defence &amp; Space</t>
  </si>
  <si>
    <t>e8f7ef30-ade7-4892-a086-592749fdfa70</t>
  </si>
  <si>
    <t>Procurement of SAT-AIS data services.</t>
  </si>
  <si>
    <t>LuxSpace Sarl</t>
  </si>
  <si>
    <t>cb1d1058-482e-4907-a495-556ab239f5b3</t>
  </si>
  <si>
    <t>Provision of Land Classification Maps</t>
  </si>
  <si>
    <t>Spatial Days Ltd</t>
  </si>
  <si>
    <t>SATELLITE APPLICATIONS CATAPULT LIMITED</t>
  </si>
  <si>
    <t>2da66761-9f23-4742-b5bc-59c7accae0dd</t>
  </si>
  <si>
    <t>18-51 BRIC Site Surveying Equipment</t>
  </si>
  <si>
    <t>Labquip NDT Limited</t>
  </si>
  <si>
    <t>University of Wolverhampton</t>
  </si>
  <si>
    <t>696e1837-1e95-4c25-82bf-9b1d2132f9c7</t>
  </si>
  <si>
    <t>Ersatzteile (ET) für Drohnen</t>
  </si>
  <si>
    <t>EMT Ingenieurgesellschaft Dipl. Ing. Hartmut Euer mbH</t>
  </si>
  <si>
    <t>84ec79a6-98a9-4d89-b1c6-84cc312027e8</t>
  </si>
  <si>
    <t>AirRobot GmbH &amp; Co.KG</t>
  </si>
  <si>
    <t>da8adecb-e06a-47f2-ac24-3f07845a45db</t>
  </si>
  <si>
    <t>767d4585-631f-4101-84af-7736cbdbef22</t>
  </si>
  <si>
    <t>87752f7f-6b5e-4243-98d1-7dcf6d04874b</t>
  </si>
  <si>
    <t>250d6aba-8d5a-41a0-9b63-4f97d14e73f9</t>
  </si>
  <si>
    <t>Rockwell Collins Deutschland GmbH</t>
  </si>
  <si>
    <t>19cec0e3-5f17-4021-98cd-aa52d596ec87</t>
  </si>
  <si>
    <t>d841855a-1dd8-4059-bf72-1667d1065f85</t>
  </si>
  <si>
    <t>ESW Wedel GmbH</t>
  </si>
  <si>
    <t>53ce3a50-7540-48bf-b6d0-775d970e6c64</t>
  </si>
  <si>
    <t>3bc1d3f4-d589-4e04-8481-c73b18621051</t>
  </si>
  <si>
    <t>Bosch-Rexroth AG</t>
  </si>
  <si>
    <t>365f40bc-a5f7-4ce7-a195-1878d389e528</t>
  </si>
  <si>
    <t>0b54c173-8b94-4fa6-be60-a6ce94067a05</t>
  </si>
  <si>
    <t>ALLSat GmbH</t>
  </si>
  <si>
    <t>Beschaffungsamt des BMI</t>
  </si>
  <si>
    <t>5f6c76c2-aa04-4225-a97e-2a681bcd8288</t>
  </si>
  <si>
    <t>RUAG Aerospace Services GmbH</t>
  </si>
  <si>
    <t>c0056db5-6e9d-431c-bc37-2aee26a3fcce</t>
  </si>
  <si>
    <t>Elektronik-Service GmbH</t>
  </si>
  <si>
    <t>e754197f-c6ab-4c0f-b225-a06736474912</t>
  </si>
  <si>
    <t>Rahmenvereinbarung über die Lieferung von GNSS-Empfängern.</t>
  </si>
  <si>
    <t>b7298b24-79b0-49ef-8476-fcc693710a12</t>
  </si>
  <si>
    <t>ac377868-f2ff-4cdb-bd1f-c376b1f1cccc</t>
  </si>
  <si>
    <t>Becker Flugfunkwerk GmbH</t>
  </si>
  <si>
    <t>212c67bf-57e2-43a1-95c0-1ac025f378ce</t>
  </si>
  <si>
    <t>Liebherr Aerospace Lindenberg GmbH</t>
  </si>
  <si>
    <t>02644376-ced3-4bb4-8962-ae148ef6d906</t>
  </si>
  <si>
    <t>73375804-0c3d-4e0a-a7bc-8638fa85e00e</t>
  </si>
  <si>
    <t>ce4ad0cb-7690-46a8-ad64-4bbdc51fb777</t>
  </si>
  <si>
    <t>7441d869-9b4b-41c7-b1b8-4e6e9dcc01dc</t>
  </si>
  <si>
    <t>0ec28134-69b6-414f-aeed-4778ed6fac55</t>
  </si>
  <si>
    <t>Entrak GmbH</t>
  </si>
  <si>
    <t>e6432cc6-6270-4e37-8f17-b7999c5faf49</t>
  </si>
  <si>
    <t>0770948b-21dd-4ef7-b756-bd211672f8d3</t>
  </si>
  <si>
    <t>MENPRO Gestiones Documentarias S.L.</t>
  </si>
  <si>
    <t>32c3a37c-e037-4490-b267-0c606b40ca99</t>
  </si>
  <si>
    <t>Suministro de material necesario para la generación de humos de color rojo para los aviones de la Patrulla Águila</t>
  </si>
  <si>
    <t>87d9c53e-c953-4be4-bbaa-430514fd4a99</t>
  </si>
  <si>
    <t>CBAM 475-20, lote 2 (477-20) de alquiler de blancos aéreos remolcadores MOAI y blancos aéreos de altas prestaciones SCRAB III y adquisición de repuestos de los blancos aéreos propulsado de doble turbina SCRAB II de la 11ª escuadrilla de aeronaves</t>
  </si>
  <si>
    <t>SISTEMAS DE CONTROL REMOTO, SL</t>
  </si>
  <si>
    <t>Director de Gestión Económica de la Jefatura de Apoyo Logístico de la Armada</t>
  </si>
  <si>
    <t>3ff95020-f190-4928-848f-119f393562ad</t>
  </si>
  <si>
    <t>Consejero Delegado de Ingeniería de Sistemas para la Defensa de España S.A., S.M.E. y M.P.</t>
  </si>
  <si>
    <t>814fde2e-04ca-4ff2-a20b-d7a57fcbea0b</t>
  </si>
  <si>
    <t>15112-Fabrication ou modification sur pièces aéronautiques pour le Service industriel de l'aéronautique</t>
  </si>
  <si>
    <t>DON FOSTER</t>
  </si>
  <si>
    <t>REXIAA</t>
  </si>
  <si>
    <t>STACEM</t>
  </si>
  <si>
    <t>AUVERGNE AERONAUTIQUE</t>
  </si>
  <si>
    <t>PMB</t>
  </si>
  <si>
    <t>SOFOP</t>
  </si>
  <si>
    <t>AUVERGNE AEONAUTIQUE GROUPE</t>
  </si>
  <si>
    <t>PRODUCTIC</t>
  </si>
  <si>
    <t>b01b12cd-ac99-48b0-ace2-3a553e095d3e</t>
  </si>
  <si>
    <t>Réalisation de prestations mécaniques (études et fabrications).</t>
  </si>
  <si>
    <t>Ets Joseph Cruanas</t>
  </si>
  <si>
    <t>DGA/DE/CELM (Landes)</t>
  </si>
  <si>
    <t>3f6fc8fe-446a-4d4d-a1ac-77087506c5aa</t>
  </si>
  <si>
    <t>Countermeasure Flares for the Finnish Air Force F-18 Hornet.</t>
  </si>
  <si>
    <t>Armtec/Esterline Countermeasures Co.</t>
  </si>
  <si>
    <t>2f4845f8-659a-4b3f-9cce-8ce5c7583064</t>
  </si>
  <si>
    <t>Hawk Mk51, Mk51A ja Mk66 -suihkuharjoituskoneiden kuomun laseja</t>
  </si>
  <si>
    <t>Mecaplex AG</t>
  </si>
  <si>
    <t>2e4d3387-3cd0-491b-ac25-86c21630349a</t>
  </si>
  <si>
    <t>Anskaffelse af systemspecifikke reservedele til TRS luftkameraer til F-16.</t>
  </si>
  <si>
    <t>Forsvarets Materieltjeneste</t>
  </si>
  <si>
    <t>4265ccf3-3954-4d74-8e89-19b51d7a070a</t>
  </si>
  <si>
    <t>Puolustusvoimien logistiikkalaitos: Hornetin järjestelmänäyttöjen varaosat ja korjaus</t>
  </si>
  <si>
    <t>Elbit Systems LTD</t>
  </si>
  <si>
    <t>0572a196-b381-40ab-9ed8-46a10965f101</t>
  </si>
  <si>
    <t>Osallistumishakemus: HN-hävittäjäkaluston ilma-arvojärjestelmän varaosahankinta, 4000001163</t>
  </si>
  <si>
    <t>Kellstrom Defence</t>
  </si>
  <si>
    <t>26f2c37d-fa1d-46cc-bebe-1cb671dbc8ab</t>
  </si>
  <si>
    <t>Anskaffelse af lysforstærkningsbriller (AN/AVS-9) med tilbehør og service</t>
  </si>
  <si>
    <t>Harris Corporation, Night Vision</t>
  </si>
  <si>
    <t>c69a4e1a-484c-4346-9b80-a9e2ee49684f</t>
  </si>
  <si>
    <t>JN 1414/2020 - VSAT DOME REPLACEMENT</t>
  </si>
  <si>
    <t>2d0aa7b0-a291-4c46-b448-139ef15fef0c</t>
  </si>
  <si>
    <t>EPACATCHMENTS2018EarthObserve - Earth Observation of Irish lakes</t>
  </si>
  <si>
    <t>Environmental Protection Agency</t>
  </si>
  <si>
    <t>08cddfaf-b247-4114-b6ae-79d6ed52fa49</t>
  </si>
  <si>
    <t>15.CPS.JP.020 EU Satcom market.</t>
  </si>
  <si>
    <t>2e7020a1-66c8-4b00-8cde-dcd86c8fd456</t>
  </si>
  <si>
    <t>Galileo full operational capability search and rescue data provision — first phase.</t>
  </si>
  <si>
    <t>Centre National d'Études Spatiales (CNES)</t>
  </si>
  <si>
    <t>ba635ac0-63d6-471b-9b1a-6bd271f2f00a</t>
  </si>
  <si>
    <t>Video boroscoop systemen en aanvullende componenten t.b.v. het Commando Luchtstrijdkrachten.</t>
  </si>
  <si>
    <t>Olympus Belgium nv</t>
  </si>
  <si>
    <t>Defensie Materieel Organisatie</t>
  </si>
  <si>
    <t>8719b628-6d37-4d43-8d56-248d0bde8b10</t>
  </si>
  <si>
    <t>Galileo Payload Test Bed</t>
  </si>
  <si>
    <t>Thales Alenia Space Italia S.p.A.</t>
  </si>
  <si>
    <t>9b28852e-60d2-45d6-8397-39fc38ae6940</t>
  </si>
  <si>
    <t>Inel etansare 212003</t>
  </si>
  <si>
    <t>215.61</t>
  </si>
  <si>
    <t>3de91e09-2327-4a6e-ab35-9aa6e6d7aa9f</t>
  </si>
  <si>
    <t>Inel etansare 5505-1-79</t>
  </si>
  <si>
    <t>1f6838af-f484-4ba9-8b13-911042837e53</t>
  </si>
  <si>
    <t>INEL DE ETANSARE INTERIOR PAHAR FILTRU HIDRAULIC REPER FG11SN-1 - 2262A13-2</t>
  </si>
  <si>
    <t>4e768fda-4c3e-4fd5-8e68-c36f4be487ee</t>
  </si>
  <si>
    <t>6460d5f1-6477-4754-8703-0793e71ea0b1</t>
  </si>
  <si>
    <t>Inel etansare 0257055</t>
  </si>
  <si>
    <t>25ff227a-be76-42f2-b494-1c80d6a66dca</t>
  </si>
  <si>
    <t>GARNITURA ETANSARE REZERVOR NR. 3 INFERIOR - 74-6100-511</t>
  </si>
  <si>
    <t>ce7233b5-0afa-4383-a5ad-02f18b803fe8</t>
  </si>
  <si>
    <t>[16731] Garnitura</t>
  </si>
  <si>
    <t>2cf8d8b9-b398-4d13-88a9-3dc02855ced2</t>
  </si>
  <si>
    <t>GARNITURA ETANSARE 74-0200-1006</t>
  </si>
  <si>
    <t>797.69</t>
  </si>
  <si>
    <t>b396fb2c-40c1-4b0c-94f4-9f07f8a08b52</t>
  </si>
  <si>
    <t>d73ada59-590e-4588-964a-6f0fd5a6afea</t>
  </si>
  <si>
    <t>Garnitura 74-6100-512</t>
  </si>
  <si>
    <t>25248b6a-4032-40ae-a829-9b93962cc09d</t>
  </si>
  <si>
    <t>bbd3ad71-332e-439f-bf24-0e97255a3bbd</t>
  </si>
  <si>
    <t>Inel etansare 2263A-10-1</t>
  </si>
  <si>
    <t>542c3ef0-dcc1-473b-b735-509d884a5188</t>
  </si>
  <si>
    <t>Filtru ulei hidraulic si Garnitura filtru ulei hidraulic</t>
  </si>
  <si>
    <t>3742.67</t>
  </si>
  <si>
    <t>bd72656d-a954-4f9e-9fac-5853a7fdd8aa</t>
  </si>
  <si>
    <t>Splint piulita arbori transmisie</t>
  </si>
  <si>
    <t>d24b2562-cd1f-4d3c-92b4-cdcdc25cef2d</t>
  </si>
  <si>
    <t>Conducta 94-5511-20-283</t>
  </si>
  <si>
    <t>1339.21</t>
  </si>
  <si>
    <t>1b4c0ba4-56b3-4232-8eba-75998c57dbe8</t>
  </si>
  <si>
    <t>Microintrerupator MP-5</t>
  </si>
  <si>
    <t>1962.77</t>
  </si>
  <si>
    <t>a34ce648-e1b6-40c2-a897-b3c1a3a239c3</t>
  </si>
  <si>
    <t>a3ce50a5-3761-426f-83f1-30c6206c0c96</t>
  </si>
  <si>
    <t>aaa2d67f-41af-44c0-bb2a-f9a74a06b79c</t>
  </si>
  <si>
    <t>Cablu E6U-0200-1510A</t>
  </si>
  <si>
    <t>609.14</t>
  </si>
  <si>
    <t>016c2382-3c63-4dde-ad9a-584e7caac282</t>
  </si>
  <si>
    <t>Metalizare 6245C56-2-140</t>
  </si>
  <si>
    <t>51588b35-6463-4d0d-a16d-0245548f4aac</t>
  </si>
  <si>
    <t>GARNITURI 74-5702-821</t>
  </si>
  <si>
    <t>347.22</t>
  </si>
  <si>
    <t>3cd47fd6-3754-4860-a1f2-579ca5551790</t>
  </si>
  <si>
    <t>Conducta flexibila 76-5512-1240</t>
  </si>
  <si>
    <t>370.46</t>
  </si>
  <si>
    <t>b7058236-d25b-4f18-aaa6-93de2010914f</t>
  </si>
  <si>
    <t>Inel "O"ring filtru pompa hidraulica</t>
  </si>
  <si>
    <t>5b7bc1ef-8fa4-4462-be8d-a6e10eb93e1c</t>
  </si>
  <si>
    <t>6d7285df-428e-46c9-a74c-0ce6d41f5245</t>
  </si>
  <si>
    <t>Tesatura cauciucata NT-7</t>
  </si>
  <si>
    <t>601.25</t>
  </si>
  <si>
    <t>97673c83-cf06-4848-b23f-91eded16e9be</t>
  </si>
  <si>
    <t>Bucsa E7-4100-111</t>
  </si>
  <si>
    <t>229.93</t>
  </si>
  <si>
    <t>5136f5fd-1f2a-439e-a1e8-68a1c5846642</t>
  </si>
  <si>
    <t>GARNITURA ETANSARE POMPA COMBUSTIBIL-PLACA REZERVOR NR. 3 INFERIOR - 74-6103-144</t>
  </si>
  <si>
    <t>1a6d115b-5fe1-4f71-8955-0f2458980196</t>
  </si>
  <si>
    <t>11183b6f-53f2-495d-a1ed-bbe073ecd4eb</t>
  </si>
  <si>
    <t>9c10b049-4748-4752-96e2-cf3536ab9fae</t>
  </si>
  <si>
    <t>35f90651-2ee4-4f45-99ac-114e7d31069b</t>
  </si>
  <si>
    <t>7da65ccb-a5e2-4351-9ca5-7267ac417a28</t>
  </si>
  <si>
    <t>352.11</t>
  </si>
  <si>
    <t>8a343119-a548-4729-8370-e7abc7c370da</t>
  </si>
  <si>
    <t>Inel etansare N8T-349-1</t>
  </si>
  <si>
    <t>467.2</t>
  </si>
  <si>
    <t>c019f567-bd38-4f59-98e9-30d6965c8445</t>
  </si>
  <si>
    <t>GARNITURA CAUCIUC ROBINET ASL - 74-0200-1006</t>
  </si>
  <si>
    <t>284.82</t>
  </si>
  <si>
    <t>45c3afc7-7623-473c-bf8c-2686a2dd8871</t>
  </si>
  <si>
    <t>Inel etansare 5125A-301-2</t>
  </si>
  <si>
    <t>207.86</t>
  </si>
  <si>
    <t>95476d82-40c0-4c25-a380-3e26a5593284</t>
  </si>
  <si>
    <t>134.22</t>
  </si>
  <si>
    <t>07cef7ae-05e7-4699-98c3-67a251a2896f</t>
  </si>
  <si>
    <t>Garnitura 2263A-16-1</t>
  </si>
  <si>
    <t>0b71b826-d48a-461c-bfb0-a381e17c8025</t>
  </si>
  <si>
    <t>91b11419-37b9-4e0c-8604-29e212f039b1</t>
  </si>
  <si>
    <t>Burduf BPR</t>
  </si>
  <si>
    <t>19d203ec-c309-4a62-90dc-c84acfdc8fb3</t>
  </si>
  <si>
    <t>Inel etansare 5125a-16-2</t>
  </si>
  <si>
    <t>118.05</t>
  </si>
  <si>
    <t>c67f435c-fe01-4211-85dd-1002bc3ef62a</t>
  </si>
  <si>
    <t>6b60f2c9-9676-4040-8aaf-d9bd785263ac</t>
  </si>
  <si>
    <t>Garnitura 4327-155N607-61-5.5-2</t>
  </si>
  <si>
    <t>137.88</t>
  </si>
  <si>
    <t>9217228a-2abb-407c-8976-6c76ccfa79ea</t>
  </si>
  <si>
    <t>7b4931f0-3173-41fc-bc39-5266e8cbf7bb</t>
  </si>
  <si>
    <t>Saiba siguranta fuzibila fuzeta aterizor</t>
  </si>
  <si>
    <t>53549443-ef8c-4917-961e-6fb538800757</t>
  </si>
  <si>
    <t>INEL ETANSARE PACHET VERIN HIDRAULIC JAMBA PRINCIPALA DE CAUCIUC - E7-4102-105-3</t>
  </si>
  <si>
    <t>ed24ad41-3c55-4908-9b35-1a07dc09f4e8</t>
  </si>
  <si>
    <t>Inel etansare 74-0200-1006</t>
  </si>
  <si>
    <t>282.88</t>
  </si>
  <si>
    <t>07a6b645-4ddb-47a5-adba-22f3b004395d</t>
  </si>
  <si>
    <t>Garnitura purjare rezervor</t>
  </si>
  <si>
    <t>359.41</t>
  </si>
  <si>
    <t>8e1a6f49-f693-45c7-a8a8-946cbf09e023</t>
  </si>
  <si>
    <t>8da1aebc-a20d-4919-ad0b-b61e7cee69ea</t>
  </si>
  <si>
    <t>08c6fcac-c16a-4132-ba42-d7072c6dc725</t>
  </si>
  <si>
    <t>0d3551f1-2f77-4d51-8f1e-0c8814a3781c</t>
  </si>
  <si>
    <t>Bucsa E7-4100-861</t>
  </si>
  <si>
    <t>146.67</t>
  </si>
  <si>
    <t>1bcfdfe6-bc44-4ac9-80cb-ff9b784dc84c</t>
  </si>
  <si>
    <t>Set 2 buc - Cupla Rotativa, tip MHF 100-SMA-30G</t>
  </si>
  <si>
    <t>1513.5</t>
  </si>
  <si>
    <t>05ff6db8-81d0-4156-a210-ac443f3a2621</t>
  </si>
  <si>
    <t>Punte de metalizare cu 2 papuci 200N2-12-60</t>
  </si>
  <si>
    <t>7114cf35-f8cd-4607-a6e9-fa581f4ba5f0</t>
  </si>
  <si>
    <t>3edf7e41-233d-48fd-b264-9367833f685e</t>
  </si>
  <si>
    <t>Sigurante 0247100 si garnituri 94-6402-161</t>
  </si>
  <si>
    <t>472.18</t>
  </si>
  <si>
    <t>21918351-ae8d-44cc-8188-a566b934e083</t>
  </si>
  <si>
    <t>Inel etansare 2263A-16-1</t>
  </si>
  <si>
    <t>192.88</t>
  </si>
  <si>
    <t>cb62dc0e-e4de-4341-92b7-19bbcc77b97f</t>
  </si>
  <si>
    <t>016022d9-5a38-4fc2-b922-590f35958c13</t>
  </si>
  <si>
    <t>5864264b-acc2-4ed9-8bf0-8e6b9e250d0d</t>
  </si>
  <si>
    <t>SEMICUZINETI COAXIALI DACIA</t>
  </si>
  <si>
    <t>1e7ad257-1b6d-40c7-87b6-02d37084efde</t>
  </si>
  <si>
    <t>INEL DE ETANSARE SUPAPA FILTRU HIDRAULIC REPER 74-5505-580 - 155N607-29.6-3.25</t>
  </si>
  <si>
    <t>b941bafb-fe32-4125-ae5a-36776aeb854a</t>
  </si>
  <si>
    <t>Inel etansare 155N607-29.6-3.2-2</t>
  </si>
  <si>
    <t>b99424e5-2ea8-4a07-8418-8184a3abb33a</t>
  </si>
  <si>
    <t>d0233eb5-afba-4f03-8677-853a3a094710</t>
  </si>
  <si>
    <t>a80825af-8b93-4ad2-95d9-0dd07bdda267</t>
  </si>
  <si>
    <t>aaa00aab-eb0b-4f5b-a4cc-9b63aea54afd</t>
  </si>
  <si>
    <t>c786dd79-5fa4-4fd8-854d-32610c17a878</t>
  </si>
  <si>
    <t>f16b8727-a8e7-4f1d-83c7-d4d4b1f4af05</t>
  </si>
  <si>
    <t>Splint comenzi</t>
  </si>
  <si>
    <t>fd9e8965-2bdc-48f2-96db-594a64b3c91a</t>
  </si>
  <si>
    <t>d4b95d7b-07e0-4ee9-841d-612bc9af2516</t>
  </si>
  <si>
    <t>da32903d-2807-46ad-b149-6e0ffa1c3b5c</t>
  </si>
  <si>
    <t>e9cb3cca-cd3b-4955-a4b4-183fd6225343</t>
  </si>
  <si>
    <t>97aba804-2436-4595-a7b5-0beec5362baf</t>
  </si>
  <si>
    <t>[330A31-1182-22] Burduf</t>
  </si>
  <si>
    <t>f52f6e23-9a28-4892-99fb-373aa5997079</t>
  </si>
  <si>
    <t>87c0ed94-f8d7-4ff1-9b65-a9567ff1e954</t>
  </si>
  <si>
    <t>09e0640f-e777-4fa7-a269-9223de010018</t>
  </si>
  <si>
    <t>SPLINT INOX 1,2 X 20</t>
  </si>
  <si>
    <t>233f9a4d-658e-4f4a-9719-617141c191cb</t>
  </si>
  <si>
    <t>99c64b14-f756-41d3-898a-d2270f1f6bc8</t>
  </si>
  <si>
    <t>CONDUCTA FLAPS - 94-5512-10-57</t>
  </si>
  <si>
    <t>133.92</t>
  </si>
  <si>
    <t>0ba372b6-1764-4f53-865c-47d7f0298d65</t>
  </si>
  <si>
    <t>INEL DE ETANSARE INTERIOR PAHAR FILTRU HIDRAULIC REPER 74-5505-580 - 74-5505-151</t>
  </si>
  <si>
    <t>035086ed-0c91-4c15-ab99-83fa6799cced</t>
  </si>
  <si>
    <t>40e8fc5a-e018-4f87-8f84-37b382b41b3f</t>
  </si>
  <si>
    <t>Lagar PN 77E303596P001</t>
  </si>
  <si>
    <t>1883.79</t>
  </si>
  <si>
    <t>7a75264d-0281-4a04-89be-99004ed9d8a6</t>
  </si>
  <si>
    <t>Racord servo spate 702A30-0920-20</t>
  </si>
  <si>
    <t>93be1bae-0339-4884-9329-039ce9d6273a</t>
  </si>
  <si>
    <t>e1d894d9-3b5e-44dd-a018-de080340d920</t>
  </si>
  <si>
    <t>Conducta flexibila 76-5512-1260</t>
  </si>
  <si>
    <t>1292.55</t>
  </si>
  <si>
    <t>22e0bd30-6fea-4b46-bde8-d8da7ce457aa</t>
  </si>
  <si>
    <t>16e5a94e-7c1d-4483-9aad-2ca5caa60b51</t>
  </si>
  <si>
    <t>Buson bulon cu ochi</t>
  </si>
  <si>
    <t>2b84582a-2319-4a75-8c29-ada3656070fb</t>
  </si>
  <si>
    <t>4e498971-d81b-40bc-87dd-0be2ff8944db</t>
  </si>
  <si>
    <t>aab72e9c-62f9-4909-8363-7e34d5ff727c</t>
  </si>
  <si>
    <t>Inel etansare 2267a-165-2</t>
  </si>
  <si>
    <t>290.13</t>
  </si>
  <si>
    <t>459f3c32-75c7-411d-b7e4-56b32d33b726</t>
  </si>
  <si>
    <t>4db8dd0c-dbf6-470f-b20e-bd15f0fdf6ec</t>
  </si>
  <si>
    <t>Reconditionare joc jamba anterioara - suport motor</t>
  </si>
  <si>
    <t>a2b292dc-81b3-40ce-8a53-714f569ee008</t>
  </si>
  <si>
    <t>Reparatie modul alimentare TSA 1015A, Reparatie monitor Extractor Austin HughesX124 U.M. 018.03/F</t>
  </si>
  <si>
    <t>2263.82</t>
  </si>
  <si>
    <t>3080f1cf-9a68-4c10-9cc8-600fe6c3781c</t>
  </si>
  <si>
    <t>Placa montare</t>
  </si>
  <si>
    <t>3018.21</t>
  </si>
  <si>
    <t>S.C. EMROM AVIATION S.R.L.</t>
  </si>
  <si>
    <t>645a44f5-e259-49ec-91f4-24ebbbcc0413</t>
  </si>
  <si>
    <t>Framework service contract for Copernicus emergency management service risk and recovery mapping.</t>
  </si>
  <si>
    <t>Airbus Defence and Space Ltd (in consortium with Airbus DS Geo Hungary Ltd, Airbus DS Geo SA, Infoterra GmbH, University of Strasbourg, Institut national de l'information géographique et forestière)</t>
  </si>
  <si>
    <t>Geoapikonisis SA Projects &amp; Geoinformatics (in consortium with National Observatory of Athens, Centro Internazionale in Monitoraggio Ambientale, Altamira Information SLU)</t>
  </si>
  <si>
    <t>Indra Sistemas S.A. (in consortium with Gisat s.r.o., Vlaamse Instelling voor Technologisch Onderzoek, GeoVille Informationssysteme und Datenverarbeitung GmbH)</t>
  </si>
  <si>
    <t>f18fb4dd-94ac-45eb-9d14-b72c2bbcaa45</t>
  </si>
  <si>
    <t>Supply of satellite remote sensing data and associated services in support to checks within the common agricultural policy (CAP) — 2 lots.</t>
  </si>
  <si>
    <t>Spot Image SA</t>
  </si>
  <si>
    <t>e2cd7394-e3d8-4974-80c5-98fbd8b522e1</t>
  </si>
  <si>
    <t>Approvvigionamento radiosonde VAISALA</t>
  </si>
  <si>
    <t>238581.66</t>
  </si>
  <si>
    <t>Eurelettronica ICAS S.r.l.</t>
  </si>
  <si>
    <t>Ministero della Difesa — Aeronautica Militare — Ufficio Generale Centro di Responsabilità Amministrativa</t>
  </si>
  <si>
    <t>6d3a2cca-9afb-4153-802e-ac3597d54c0f</t>
  </si>
  <si>
    <t>T 1632 — Smart CIG Z56295CBBF — HYROKS</t>
  </si>
  <si>
    <t>109438.5</t>
  </si>
  <si>
    <t>«A.T.S.», costituita dall’«Università degli studi di Padova — Dipartimento di ingegneria industriale», (mandataria), dall’«Università degli studi di Perugia», (mandante) e da «Technology for Propulsion and Innovation S.r.l. (T4i)» (mandante)</t>
  </si>
  <si>
    <t>468636.5</t>
  </si>
  <si>
    <t>47d12425-f5db-4b5f-b2ba-3f6011fda04b</t>
  </si>
  <si>
    <t>Framework contract for supply of satellite remote sensing data and associated services in support to checks within the common agricultural policy (CAP) — high high resolution profile (HHR).</t>
  </si>
  <si>
    <t>Airbus DS Geo SA</t>
  </si>
  <si>
    <t>ae1d1f06-6a59-4640-87d3-750a328ccd28</t>
  </si>
  <si>
    <t>Dodávka náhradních dílů k letištním zametačům.</t>
  </si>
  <si>
    <t>HAGEMANN a.s.</t>
  </si>
  <si>
    <t>Česká republika - Ministerstvo obrany</t>
  </si>
  <si>
    <t>2edacf2d-6933-48ef-b590-177e2dc41415</t>
  </si>
  <si>
    <t>Zařízení pro poletový rozbor</t>
  </si>
  <si>
    <t>SPEEL PRAHA s.r.o.</t>
  </si>
  <si>
    <t>f86e5be5-91f7-484b-a5f4-14f2273f763d</t>
  </si>
  <si>
    <t>GB-Deeside: Electronic cable spares for the manufacture of Fill Gun Cables</t>
  </si>
  <si>
    <t>Kallista Electronics Ltd</t>
  </si>
  <si>
    <t>Defence Electronics and Components Agency (DECA)</t>
  </si>
  <si>
    <t>40dacb08-88b8-4359-968c-32794a9f4700</t>
  </si>
  <si>
    <t>395661d5-9cc7-4c79-aa4e-d036eeb94784</t>
  </si>
  <si>
    <t>8e685efc-e97c-431b-a888-689119f81821</t>
  </si>
  <si>
    <t>faaef296-dc99-4154-8756-66b8ec1d7fbb</t>
  </si>
  <si>
    <t>Entrak Energie- und Antriebstechnik GmbH &amp; Co.KG</t>
  </si>
  <si>
    <t>3a43a67f-a2dc-48fb-aed9-3d667fd1c22c</t>
  </si>
  <si>
    <t>a127ce42-9cd7-4d17-88fa-7f7d3c22bc50</t>
  </si>
  <si>
    <t>MTU Aero Engines GmbH</t>
  </si>
  <si>
    <t>06799fa9-6f89-4183-8a44-66b07a731968</t>
  </si>
  <si>
    <t>82d6ab58-894e-4b52-b3be-de375e92ecd1</t>
  </si>
  <si>
    <t>f6d6c889-1330-4f73-b0d5-0a5b31b8606c</t>
  </si>
  <si>
    <t>&gt; Ersatzteilbeschaffung (Ersatzteilfolgebedarf).</t>
  </si>
  <si>
    <t>44374cf3-6fd5-4234-b60a-18e8879573bb</t>
  </si>
  <si>
    <t>178aee81-425d-464c-a56b-7663e986e187</t>
  </si>
  <si>
    <t>aa3b7dc7-89fd-4f59-a536-aca48ad1ab33</t>
  </si>
  <si>
    <t>ZF Luftfahrttechnik GmbH</t>
  </si>
  <si>
    <t>5ff50ee2-b907-4f81-af26-6c9e00841f16</t>
  </si>
  <si>
    <t>14e14234-8ec3-4bf7-8968-7b74d594ba71</t>
  </si>
  <si>
    <t>0a866c0c-6524-4c42-beae-7d9ca0243390</t>
  </si>
  <si>
    <t>7b733127-2522-4bd5-98af-8309995a7b27</t>
  </si>
  <si>
    <t>1 Position Ersatzteilfolgebedarf, Hersteller C3681</t>
  </si>
  <si>
    <t>Diehl &amp; Eagle Picher GmbH Batterie-Systeme</t>
  </si>
  <si>
    <t>588c1ba5-fddd-4711-8ace-b0b5d278d9c7</t>
  </si>
  <si>
    <t>Q/L2AL/CA198/4A400 - Beschaffung eines Kabinendrucktesters für das Waffensystem P-3C Orion CUP (ursprüngliche Beschaffungs-Nr.: Q/LR1L/CA198/4A400).</t>
  </si>
  <si>
    <t>71200267-ad7c-4887-884d-a8fa5235d8c4</t>
  </si>
  <si>
    <t>ca917658-73f6-4f5c-87a4-4742ff2f40d3</t>
  </si>
  <si>
    <t>Additional provision of Radarsat-2 multiuser license for EMSA maritime activities.</t>
  </si>
  <si>
    <t>35d37498-b3aa-4741-bced-247c9c011b1d</t>
  </si>
  <si>
    <t>ESW GmbH</t>
  </si>
  <si>
    <t>fbad29dc-d2fb-476d-b2a4-b4dc3dec3016</t>
  </si>
  <si>
    <t>CBAM 475/20 de respuestos (Lote II) de los blancos aéreos propulsado de doble turbina SCRAB II de la 11ª escuadrilla de aeronaves</t>
  </si>
  <si>
    <t>bb5d38d6-a1ee-4954-8e8c-884faf267f9e</t>
  </si>
  <si>
    <t>JEMAN - YSABEL (T.A. 2022).- Contrato de suministro e instalación de terminales satélite IGX y FBB250 en el buque Ysabel</t>
  </si>
  <si>
    <t>38870.28</t>
  </si>
  <si>
    <t>Satlink, S.L.U.</t>
  </si>
  <si>
    <t>Intendente de Cartagena</t>
  </si>
  <si>
    <t>899f2359-4ca1-4dd8-8b49-8256139f2f89</t>
  </si>
  <si>
    <t>Fabricación de estructura soporte del kit B necesaria para la operación del SCAN EAGLE en FFG Canarias.</t>
  </si>
  <si>
    <t>SANCHEZ SUR SL</t>
  </si>
  <si>
    <t>Intendente de Rota</t>
  </si>
  <si>
    <t>75ec0b66-42b0-4bfe-bd77-d2f3c843c444</t>
  </si>
  <si>
    <t>Expérimentation d'un service satellitaire de données AIS (automatic identification system) corrélées aves des données d'imagerie optique et/ou radar.</t>
  </si>
  <si>
    <t>(Titulaire): CLS 8-10 rue Hermes — Parc technologique du canal — 31520 Ramonville-Saint-Agne Cedex — (cotraitant): Spot Image — 5 rue des Satellites — 31400 Toulouse</t>
  </si>
  <si>
    <t>DGA/SCA</t>
  </si>
  <si>
    <t>15f042e3-202b-468a-8800-e01944de0fe2</t>
  </si>
  <si>
    <t>Anksaffelse af pyroteknisk udstyr til brug i de enkelte flys nødevakuering,- brandsluknings- og afdelinger</t>
  </si>
  <si>
    <t>Air Force Security Assistance Centre, Dayton</t>
  </si>
  <si>
    <t>3fd33d29-fd54-4633-9862-dfd23eb0e0e3</t>
  </si>
  <si>
    <t>Purchase of Main Landing Gear Tires for F-16 aircraft.</t>
  </si>
  <si>
    <t>Goodyear Nederland B.V.</t>
  </si>
  <si>
    <t>843e159f-b47e-4f7d-b497-9b0ab9f24368</t>
  </si>
  <si>
    <t>Anskaffelse af reservedele til F-16, C-130J og Seahawk helikoptere gennem Foreign Military Sales</t>
  </si>
  <si>
    <t>Air Force Security Assistance Centre</t>
  </si>
  <si>
    <t>1c4f01fa-a6b0-4093-b656-b0526dd217a8</t>
  </si>
  <si>
    <t>Linnavuoren ja Hallin varastoinnin järjestely vuosina 2014–2016.</t>
  </si>
  <si>
    <t>148626ce-c762-4220-b897-bcf0cb30d3f4</t>
  </si>
  <si>
    <t>F/A-18 Hornet hävittäjäkaluston laskutelinejärjestelmän varaosien hankinta, 4000000744.</t>
  </si>
  <si>
    <t>S&amp;K Logistics Services</t>
  </si>
  <si>
    <t>6cde32ec-ca95-4a25-948c-ac5ed10b5d29</t>
  </si>
  <si>
    <t>Hawk Mk51, Mk51A ja Mk66 -suihkuharjoituskoneiden varaosia (osallistumishakemuspyyntö)</t>
  </si>
  <si>
    <t>Heroux Devtek UK (APPH Ltd)</t>
  </si>
  <si>
    <t>British International Industries Ltd</t>
  </si>
  <si>
    <t>S3 AeroDefense</t>
  </si>
  <si>
    <t>Relli Technology Holland B.V.</t>
  </si>
  <si>
    <t>Repaircraft PLC</t>
  </si>
  <si>
    <t>OEM DEFENCE SERVICES</t>
  </si>
  <si>
    <t>c068fe15-ee47-4034-90ba-4d8ac83f0808</t>
  </si>
  <si>
    <t>Hawk Mk51, Mk51A ja Mk66 -suihkuharjoituskoneiden varaosia</t>
  </si>
  <si>
    <t>Saywell International</t>
  </si>
  <si>
    <t>BAE Systems Ltd</t>
  </si>
  <si>
    <t>Hayward &amp; Green Defence Ltd</t>
  </si>
  <si>
    <t>de78f57e-4376-4248-b93c-25bcc5dc313f</t>
  </si>
  <si>
    <t>F/A-18 Hornet hävittäjäkaluston lennonohjausjärjestelmän yleisten varaosien hankinta, 4000000871</t>
  </si>
  <si>
    <t>Derco Aerospace</t>
  </si>
  <si>
    <t>British International Industries</t>
  </si>
  <si>
    <t>f76b6560-a5c9-4504-b173-a8ea5d5bd5c5</t>
  </si>
  <si>
    <t>F/A-18 Hornet-hävittäjäkaluston moottoreiden ja moottoreiden laitteiden ja APU:n kulutusvaraosien hankinta, osallistumishakemuspyyntö, 4000001343</t>
  </si>
  <si>
    <t>Aero Precision Industries LLC</t>
  </si>
  <si>
    <t>Ruag, Inc.</t>
  </si>
  <si>
    <t>Sherwood Aviation Inc.</t>
  </si>
  <si>
    <t>4c3e09f5-849e-4a4c-9ea6-9d3c6301d0ff</t>
  </si>
  <si>
    <t>Purchase of Main and Nose Landing Gear Tires for F-16 aircraft.</t>
  </si>
  <si>
    <t>8e0503f3-1925-495d-a3c4-9b0b4009a27e</t>
  </si>
  <si>
    <t>F/A-18 Hornet-hävittäjakaluston laskutelinejärjestelmän varaosien hankinta, 4000001226</t>
  </si>
  <si>
    <t>653.98</t>
  </si>
  <si>
    <t>842579.62</t>
  </si>
  <si>
    <t>21172.16</t>
  </si>
  <si>
    <t>400007.5</t>
  </si>
  <si>
    <t>50285.89</t>
  </si>
  <si>
    <t>20012.5</t>
  </si>
  <si>
    <t>110565.53</t>
  </si>
  <si>
    <t>239882.06</t>
  </si>
  <si>
    <t>834aefbf-c581-4ef9-a7fb-79f7b3bbbc0f</t>
  </si>
  <si>
    <t>Osallistumishakemus F/A-18 Hornet -hävittäjäkaluston lennonohjausjärjestelmän varaosia, 4000001139</t>
  </si>
  <si>
    <t>Associated Aircrfat</t>
  </si>
  <si>
    <t>ccc46b3a-6ebd-4725-9882-39ec6b0c4591</t>
  </si>
  <si>
    <t>Ohjainsauvanpäiden hankinta HAWK MK51/MK51A -kalustoon</t>
  </si>
  <si>
    <t>Goodrich Lighting Systems (a part of Collins Aerospace)</t>
  </si>
  <si>
    <t>e9c3f532-30fc-4ac5-b269-0414a958a8a5</t>
  </si>
  <si>
    <t>F/A-18 Hornet-hävittäjäkaluston moottorin jälkipoltinmoduulin säteittäisen liekinpitimen kaasunsekoittimien hankinta</t>
  </si>
  <si>
    <t>GKN Aerospace Sweden AB</t>
  </si>
  <si>
    <t>b62ec126-891a-4880-885f-552caeac4d7a</t>
  </si>
  <si>
    <t>F-18 Hornet -hävittäjäkaluston moottorin varaosien hankinta</t>
  </si>
  <si>
    <t>General Electric Company</t>
  </si>
  <si>
    <t>75f65b9e-daa9-45d0-9922-8640e3a11bed</t>
  </si>
  <si>
    <t>ESS029C - ESS029C-ITC-• Two (2) Measurement Training Rigs</t>
  </si>
  <si>
    <t>Education Procurement Service (EPS)</t>
  </si>
  <si>
    <t>59dedc3d-1199-455c-a8b5-9f74182f540e</t>
  </si>
  <si>
    <t>ITT15-044 - Buoy Marine Platform Satellite Data Services</t>
  </si>
  <si>
    <t>Marine Institute</t>
  </si>
  <si>
    <t>0b12a45a-0062-4e67-8f59-ae6f2f5f1925</t>
  </si>
  <si>
    <t>ITT20-006 - Marine Platform Satellite Data Services</t>
  </si>
  <si>
    <t>34d6c44c-a9a1-42c5-b5bf-1d75c663ddf2</t>
  </si>
  <si>
    <t>ITT20-029 - Pop-off Satellite Archival Tags (PSATs)</t>
  </si>
  <si>
    <t>42d80b37-725f-425e-bb51-e42708e4db19</t>
  </si>
  <si>
    <t>Fälltankar (EDT3) till RTAF</t>
  </si>
  <si>
    <t>31bb682f-3b91-4243-b6d9-2c29ece43b6f</t>
  </si>
  <si>
    <t>Supply of PC-7 spare parts.</t>
  </si>
  <si>
    <t>NedAero</t>
  </si>
  <si>
    <t>fad2a59d-d1ef-4017-9c1b-1f3a1c22eefe</t>
  </si>
  <si>
    <t>Galileo satellites batch 3 long lead items.</t>
  </si>
  <si>
    <t>OHB System AG</t>
  </si>
  <si>
    <t>229994be-41c8-4c34-8a01-f1c26cf0480d</t>
  </si>
  <si>
    <t>Procurement of Galileo Transition Satellites</t>
  </si>
  <si>
    <t>European Commission, Directorate-General for Defence Industry and Space (DG DEFIS)</t>
  </si>
  <si>
    <t>f0364238-92a4-4739-946a-925751f98efb</t>
  </si>
  <si>
    <t>Prototyping and support to standardisation of satellite-based augmentation system L1/L5 multi-constellation receiver.</t>
  </si>
  <si>
    <t>984967cd-340b-4e68-89bc-affb709ed3f9</t>
  </si>
  <si>
    <t>CH-47 D/F "Chinook" Repair and Overhaul Various Parts</t>
  </si>
  <si>
    <t>119925.05</t>
  </si>
  <si>
    <t>MRO Aerospace INC</t>
  </si>
  <si>
    <t>222496.63</t>
  </si>
  <si>
    <t>dc2311aa-6a38-4c95-b1c7-61da0908cd25</t>
  </si>
  <si>
    <t>Framework contract with reopening of competition for the supply of test user receivers for the public regulated service and test user receivers for navigation for the global navigation satellite system (GNSS) Galileo.</t>
  </si>
  <si>
    <t>Thales Avionics (France)</t>
  </si>
  <si>
    <t>Septentrio (Belgium)</t>
  </si>
  <si>
    <t>IFEN (Germany)</t>
  </si>
  <si>
    <t>Thales Alenia Space (Italy)</t>
  </si>
  <si>
    <t>58592d32-6d4f-4a17-ac53-70467d388542</t>
  </si>
  <si>
    <t>Certification process for EGNOS and Galileo for road applications.</t>
  </si>
  <si>
    <t>Transport Research Laboratory (TRL) Limited</t>
  </si>
  <si>
    <t>e07767b8-163c-4af3-95f9-7f817e65c1ea</t>
  </si>
  <si>
    <t>Procurement of Galileo satellites batch 3.</t>
  </si>
  <si>
    <t>7fb44048-b9a4-4964-b97a-d3566b7752e0</t>
  </si>
  <si>
    <t>Provision of legal, technical and organisational support for the European Commission's activities on global navigation satellite system (GNSS) applications.</t>
  </si>
  <si>
    <t>Alpha Consultants SRL</t>
  </si>
  <si>
    <t>9538b2ec-8355-4327-91c1-4e69d2c06595</t>
  </si>
  <si>
    <t>624.29</t>
  </si>
  <si>
    <t>a63f3a9f-50bb-4650-a638-94a89bb75fbc</t>
  </si>
  <si>
    <t>45514d8c-c6c5-427a-b86e-565e750c5d8e</t>
  </si>
  <si>
    <t>Distantier CTP - platina supla</t>
  </si>
  <si>
    <t>426b7739-980b-4317-9f5c-b5a595361fbf</t>
  </si>
  <si>
    <t>Supapa 695030</t>
  </si>
  <si>
    <t>491.92</t>
  </si>
  <si>
    <t>f9d4a84e-9bdc-4bda-8ca0-e9da2cdd849f</t>
  </si>
  <si>
    <t>Siguranta 0247081</t>
  </si>
  <si>
    <t>a5d4fa5d-ac24-465c-b604-3768aa4ba03a</t>
  </si>
  <si>
    <t>Perii 555126</t>
  </si>
  <si>
    <t>12606.75</t>
  </si>
  <si>
    <t>abb6fdd8-242a-4cf6-8943-1f40ebf11840</t>
  </si>
  <si>
    <t>UPS, model ETI001-2255</t>
  </si>
  <si>
    <t>7848.81</t>
  </si>
  <si>
    <t>5f470e95-bd42-45bb-89cb-68a87dada8d8</t>
  </si>
  <si>
    <t>Garnitura 74-0200-1005</t>
  </si>
  <si>
    <t>794.35</t>
  </si>
  <si>
    <t>c20151c9-2c33-43d7-9b9d-9f98845ec167</t>
  </si>
  <si>
    <t>55b81e5e-3bb3-4af8-a5da-7fdc604e5118</t>
  </si>
  <si>
    <t>239.82</t>
  </si>
  <si>
    <t>b738191e-b188-40f7-af1a-b4c6691a5fa4</t>
  </si>
  <si>
    <t>INEL ETANSARE PACHET VERIN HIDRAULIC JAMBA PRINCIPALA DE CAUCIUC - 155N607-67.5-4-2</t>
  </si>
  <si>
    <t>17de1a98-304b-4572-ac65-54947a0c1941</t>
  </si>
  <si>
    <t>4ef76ff2-eb1d-41cd-b4eb-911e15a453ea</t>
  </si>
  <si>
    <t>Garnitura 0D87-32.5-4S</t>
  </si>
  <si>
    <t>239.08</t>
  </si>
  <si>
    <t>41be91a7-8d5c-4cac-81a5-8456b4446cb1</t>
  </si>
  <si>
    <t>61a26ff8-0a5a-45c8-aafb-86cbb0eb5b57</t>
  </si>
  <si>
    <t>Masca oxigen pilot</t>
  </si>
  <si>
    <t>4642.75</t>
  </si>
  <si>
    <t>7b5f5619-4712-49dd-a886-bf75f2498783</t>
  </si>
  <si>
    <t>[84426-20] Garnitura etansare zona pompei hidraulice</t>
  </si>
  <si>
    <t>8f8d8b72-23eb-4d71-8781-8c83b9270fdc</t>
  </si>
  <si>
    <t>9f11c685-ffc5-49e2-a752-a6a0008e0f85</t>
  </si>
  <si>
    <t>859.91</t>
  </si>
  <si>
    <t>dcfbfeed-eb1d-4a19-8908-20d3989c63f4</t>
  </si>
  <si>
    <t>3856ab56-b901-455f-bf7f-d71d793c4877</t>
  </si>
  <si>
    <t>Reparatie modul Sursa de alimentare model SPXL-750Q-P</t>
  </si>
  <si>
    <t>1819.69</t>
  </si>
  <si>
    <t>8daaaa82-f2c0-4ad0-8b2d-602fef4b01ab</t>
  </si>
  <si>
    <t>Inel etansare OD87-9-2S</t>
  </si>
  <si>
    <t>196.26</t>
  </si>
  <si>
    <t>8d7bb2fe-a857-4d56-b9a0-37228146f1ec</t>
  </si>
  <si>
    <t>Inele etansare, SAFT-LS14250 (Baterie litiu 3,6V I 12 AA @ 1 4.5x25mm, I 200mAh</t>
  </si>
  <si>
    <t>1364.88</t>
  </si>
  <si>
    <t>cde87158-1dd7-41e1-9100-668aa9537093</t>
  </si>
  <si>
    <t>Sirma zincata sigurantat 0.5 mm, 0.8 mm</t>
  </si>
  <si>
    <t>232.35</t>
  </si>
  <si>
    <t>ccec054e-c35a-45ce-83ab-6ca6f62c3e62</t>
  </si>
  <si>
    <t>INEL ETANSARE REZERVOR HIDRAULIC - 155N607-29.6-3.25</t>
  </si>
  <si>
    <t>af403057-e410-46da-9a0c-1b47adbd9d3c</t>
  </si>
  <si>
    <t>bc3f4e1c-790d-453c-934b-161ebb1dfb0e</t>
  </si>
  <si>
    <t>Garnitura 2263A-20-1</t>
  </si>
  <si>
    <t>e74491da-a4fd-4862-a309-fc385a798853</t>
  </si>
  <si>
    <t>Inel etansare 2263A-3-1</t>
  </si>
  <si>
    <t>07e1a526-e15d-4680-9dd3-13ab2c568f8f</t>
  </si>
  <si>
    <t>PERII CARBUNE 555126</t>
  </si>
  <si>
    <t>13008.71</t>
  </si>
  <si>
    <t>bab9da0b-d7b5-421a-9492-a2842922831a</t>
  </si>
  <si>
    <t>Racord hidraulic</t>
  </si>
  <si>
    <t>423.89</t>
  </si>
  <si>
    <t>7f5d2bf6-300c-49d3-a18b-5ef63e7f1869</t>
  </si>
  <si>
    <t>Rondela amortizor</t>
  </si>
  <si>
    <t>479.21</t>
  </si>
  <si>
    <t>74903daa-e8b6-4565-9c66-842a8bba9d19</t>
  </si>
  <si>
    <t>[9998080021] Siguranta</t>
  </si>
  <si>
    <t>199.93</t>
  </si>
  <si>
    <t>95b9ba70-4a70-407b-b223-8e79274118f1</t>
  </si>
  <si>
    <t>Burduf protectie indicator pas</t>
  </si>
  <si>
    <t>680.87</t>
  </si>
  <si>
    <t>af9fc0df-5f52-403c-8d26-85a8e7f42098</t>
  </si>
  <si>
    <t>59a30970-c3aa-4c3a-90a5-c8cf01728ddf</t>
  </si>
  <si>
    <t>Etansant PS 870 B1/2</t>
  </si>
  <si>
    <t>803.6</t>
  </si>
  <si>
    <t>23bb97fd-cbf6-4a9e-bcbc-a29f855d24a1</t>
  </si>
  <si>
    <t>Conducta flexibila 1683A-5U4-120-600</t>
  </si>
  <si>
    <t>744.98</t>
  </si>
  <si>
    <t>7a148578-63bf-4d97-90d6-9ce0f33ed806</t>
  </si>
  <si>
    <t>1e82f954-bda2-46bb-a049-6c68a6924476</t>
  </si>
  <si>
    <t>Sarma zincata Ø0.5 mm</t>
  </si>
  <si>
    <t>120.1</t>
  </si>
  <si>
    <t>ab7304cb-28bb-4037-8cd6-bdf09858782e</t>
  </si>
  <si>
    <t>e711b6f2-1259-4eb3-b09f-902de9fac172</t>
  </si>
  <si>
    <t>b4405e76-96f8-4ac2-b2c6-59d969d7ec5b</t>
  </si>
  <si>
    <t>Inel "O" comb.GTM</t>
  </si>
  <si>
    <t>6e4ced75-1f55-4683-8d06-98b1fc50406e</t>
  </si>
  <si>
    <t>Inel etansare 0257054</t>
  </si>
  <si>
    <t>291.16</t>
  </si>
  <si>
    <t>cf4cd9f0-fda5-48f4-aa55-9d5648760ac3</t>
  </si>
  <si>
    <t>Conducta flexibila 76-5512-2010P</t>
  </si>
  <si>
    <t>1177.6</t>
  </si>
  <si>
    <t>c02e1f6a-13d9-467a-a300-3dfbb5324939</t>
  </si>
  <si>
    <t>1461cf2c-9183-4f32-ad7d-3f0b322a5592</t>
  </si>
  <si>
    <t>33262a3a-2d0a-4707-89e9-e36b8d47bc07</t>
  </si>
  <si>
    <t>b924d199-44bd-4e94-b271-2f202d49eacb</t>
  </si>
  <si>
    <t>a6eca70d-3026-46d2-a3e2-29e44fc32d4f</t>
  </si>
  <si>
    <t>625c1940-9bbd-4d86-b41a-679074bd3ce7</t>
  </si>
  <si>
    <t>a7456f52-2b21-49d6-92f4-ca0b0371da82</t>
  </si>
  <si>
    <t>Saiba 0247081</t>
  </si>
  <si>
    <t>c8a165f8-f2da-4bd9-9c93-f529193eebfe</t>
  </si>
  <si>
    <t>Inel etansare 155N607-89-3.2</t>
  </si>
  <si>
    <t>20e61ab8-0ea7-4976-bd59-f7c22c541f2a</t>
  </si>
  <si>
    <t>SPLINT INOX 1,6 X 40</t>
  </si>
  <si>
    <t>6798efd6-8740-4db9-8c7a-675fbc55dfa8</t>
  </si>
  <si>
    <t>43ee5ebd-1030-4dce-a6b4-750f228babd3</t>
  </si>
  <si>
    <t>dfe538ec-3a35-4cea-a3bd-9b850e83f2ee</t>
  </si>
  <si>
    <t>9ecb41a1-7c5f-4c58-b410-39b6f465d340</t>
  </si>
  <si>
    <t>5a5d8616-64ee-44a1-9003-f295dfadf9f5</t>
  </si>
  <si>
    <t>Sarma zincata Ф1 mm</t>
  </si>
  <si>
    <t>3926652c-d25a-49d8-80f5-1bf492582ae2</t>
  </si>
  <si>
    <t>Splint inox 1X36</t>
  </si>
  <si>
    <t>4151eb4c-d264-4c80-8b0c-571767f6e92a</t>
  </si>
  <si>
    <t>bb2abcf8-1757-4ccb-a30d-d8b1a29b583a</t>
  </si>
  <si>
    <t>Pachet suport logistic initial avion IAR 99 Soim nr. 719 - Revitalizare si aplicare buletine service motor Viper 632-41M.</t>
  </si>
  <si>
    <t>Turbomecanica SA</t>
  </si>
  <si>
    <t>Ministerul Apararii - Unitatea Militara 02550 Bucuresti</t>
  </si>
  <si>
    <t>184e88f1-ac25-4831-aef7-bd239c6c88f7</t>
  </si>
  <si>
    <t>7760b8b8-50f7-4a67-b653-922fb1989b51</t>
  </si>
  <si>
    <t>Inel etansare E7-4102-105-3</t>
  </si>
  <si>
    <t>117.77</t>
  </si>
  <si>
    <t>f0da15b0-a218-4b7f-9338-144163352659</t>
  </si>
  <si>
    <t>a4c9c7e5-4f5d-43e6-b6fe-d8aeb690cfc9</t>
  </si>
  <si>
    <t>INEL ETANSARE REZERVOR HIDRAULIC - 155N607-11.6-3.25</t>
  </si>
  <si>
    <t>8a09c577-7b87-4802-86db-680a7208a990</t>
  </si>
  <si>
    <t>a40fbac9-c2e9-4b37-927e-2240f65c8904</t>
  </si>
  <si>
    <t>Bucsa 94-5600-2001-2</t>
  </si>
  <si>
    <t>804.74</t>
  </si>
  <si>
    <t>8c7bd4bf-e852-46bc-a207-d9826484bc2a</t>
  </si>
  <si>
    <t>INEL ETANSARE DE CUPRU SUPAPA INCARCARE CU AZOT REPER 642500 - 3401A-0.5-4-8</t>
  </si>
  <si>
    <t>fa9346d2-4767-4a58-a52c-1bd091748ca1</t>
  </si>
  <si>
    <t>0ef80a55-8f8a-43ee-b11a-5e64b87c7c41</t>
  </si>
  <si>
    <t>b083abec-2f25-4bea-8e12-1fa8e36c4c60</t>
  </si>
  <si>
    <t>a9c1ebdc-e736-4382-9fcd-ae6a7148e4dd</t>
  </si>
  <si>
    <t>badeca4d-e353-47e7-b635-35b1b8861051</t>
  </si>
  <si>
    <t>8b9b3356-13d6-4203-aa3c-a084b2f7f013</t>
  </si>
  <si>
    <t>Garnitura 2263A-18-1</t>
  </si>
  <si>
    <t>4d1f8802-14a6-4b5d-95fe-db6ed37c2699</t>
  </si>
  <si>
    <t>abc3a9e5-f683-4044-980d-cf2fec648848</t>
  </si>
  <si>
    <t>Filtru ulei hidraulic</t>
  </si>
  <si>
    <t>2668.16</t>
  </si>
  <si>
    <t>61f53120-c5ea-4a35-8ec7-fdcf959b39bf</t>
  </si>
  <si>
    <t>Alimentator pulsatoriu; modulara; 3kW, 24V, 125A</t>
  </si>
  <si>
    <t>689.86</t>
  </si>
  <si>
    <t>2414b549-c74b-4f97-966c-dfaf3ebede9a</t>
  </si>
  <si>
    <t>Articulatie hidraulica</t>
  </si>
  <si>
    <t>3418.15</t>
  </si>
  <si>
    <t>4973eef0-db5d-4f7b-a800-b8e0835c8141</t>
  </si>
  <si>
    <t>Piese mentenanta avion F16</t>
  </si>
  <si>
    <t>7237.82</t>
  </si>
  <si>
    <t>64697560-cf48-4fc7-bf10-c5336cc26583</t>
  </si>
  <si>
    <t>Approvvigionamento di combustibile navale distillato (Simbolo NATO F-76) rispondente alla Specifica Nazionale NAV-80-9140-0001-14-01B000 REV 1.5.2009, per i Depositi della M.M. (POL Nazionali/NATO) di Taranto, La Spezia ed Augusta e/o per il servizio di rifornimento diretto alle Unità navali nei porti sedi dei Depositi stessi per le esigenze della M.M. Unico lotto. C.I.G. ZC9101F8B4.</t>
  </si>
  <si>
    <t>582157.07</t>
  </si>
  <si>
    <t>Piaggio Aero Industries SpA</t>
  </si>
  <si>
    <t>Ministero della Difesa — Segretariato Generale della Difesa e Direzione Nazionale degli Armamenti — Direzione Informatica, Telematica e Tecnologie Avanzate (Teledife)</t>
  </si>
  <si>
    <t>191288.2</t>
  </si>
  <si>
    <t>930d720c-d209-462b-9e41-bc897b96d3f5</t>
  </si>
  <si>
    <t>Framework service contract for Copernicus emergency management service mapping validation.</t>
  </si>
  <si>
    <t>Trabajos Catastrales, SA</t>
  </si>
  <si>
    <t>39892aed-af33-4970-914b-4cf398ef2459</t>
  </si>
  <si>
    <t>b76e0dc4-ba85-4f25-a2f9-5364c6ca7daa</t>
  </si>
  <si>
    <t>e98665df-2bcb-4416-9618-eb9e54865d86</t>
  </si>
  <si>
    <t>d7fe289b-38c4-46c1-97e1-200e47fb0946</t>
  </si>
  <si>
    <t>ae419856-d200-4469-950a-f776c06a2ae9</t>
  </si>
  <si>
    <t>Apparatebau Gauting GmbH</t>
  </si>
  <si>
    <t>f0642afe-163b-418c-928b-ae2eb1b2299c</t>
  </si>
  <si>
    <t>EADS Deutschland GmbH, Cassidian</t>
  </si>
  <si>
    <t>0e898892-4b63-4cd9-a34a-045243b639cf</t>
  </si>
  <si>
    <t>53aacd75-00a0-412a-8d9c-1a70a1cf102e</t>
  </si>
  <si>
    <t>Eurocopter Deutschland GmbH</t>
  </si>
  <si>
    <t>be5795ea-1c68-41e9-9dee-e1f429c59927</t>
  </si>
  <si>
    <t>578bce64-a330-4262-bb7c-85fad8faaceb</t>
  </si>
  <si>
    <t>146c408e-b191-4c29-89be-c2ef85b17512</t>
  </si>
  <si>
    <t>20bcb98f-0e6c-4d17-9e8d-2be7bf91aff3</t>
  </si>
  <si>
    <t>dd8956fa-1f97-4b7b-895f-47bc2aabafb4</t>
  </si>
  <si>
    <t>d9254840-4e96-4bfe-9d58-c70ee4418ec5</t>
  </si>
  <si>
    <t>fbc59923-52b6-4c00-bc86-0b63d8c70141</t>
  </si>
  <si>
    <t>f6bdedc8-08db-4f6b-97ea-7c25c4d543fa</t>
  </si>
  <si>
    <t>2d1064c8-af86-4cad-8428-17f6958ab674</t>
  </si>
  <si>
    <t>8980ed31-d9b4-46a9-a5e4-a38fb8d75599</t>
  </si>
  <si>
    <t>6aaedcf1-0d5d-4335-a5a1-e539360f9292</t>
  </si>
  <si>
    <t>24c9ca0a-2cfc-4a4a-9c13-97999b12573c</t>
  </si>
  <si>
    <t>4befcc8d-0001-4ddd-a9a6-0cd716d4bb1e</t>
  </si>
  <si>
    <t>zrušení veřejné zakázky</t>
  </si>
  <si>
    <t>1d593a95-e544-45fe-aa8b-70234a0352d4</t>
  </si>
  <si>
    <t>Framework service contract for multi-user licence for Radarsat-2 for EMSA earth observation services.</t>
  </si>
  <si>
    <t>209346cd-3e49-498f-b550-c5bcab41be26</t>
  </si>
  <si>
    <t>Contract for SAT-AIS Data Service</t>
  </si>
  <si>
    <t>Hisdesat Servicios Estratégicos, S. A.</t>
  </si>
  <si>
    <t>0fadf4a7-7569-4060-b80b-06a7fd40aa2f</t>
  </si>
  <si>
    <t>Adquisición de caja de control hidráulico aplicable a los helicópteros Súper Puma H21 del Ala 49</t>
  </si>
  <si>
    <t>14984.98</t>
  </si>
  <si>
    <t>AIRBUS HELICOPTERS ESPAÑA S.A.</t>
  </si>
  <si>
    <t>Jefatura de la Sección Económico-Administrativa 61 - Base Aérea de Son San Juan</t>
  </si>
  <si>
    <t>228cc3ea-6f08-4a96-a98f-ccb3cea90da3</t>
  </si>
  <si>
    <t>Procesamiento, análisis e interpretación de imágenes térmicas satelitales de las islas de Tenerife, Gran Canaria y La Palma</t>
  </si>
  <si>
    <t>AGRESTA S. COOP.</t>
  </si>
  <si>
    <t>Presidencia de la Agencia Insular de Energía de Tenerife</t>
  </si>
  <si>
    <t>98552def-1b1f-4e03-b3d6-fbd2f289054f</t>
  </si>
  <si>
    <t>c40e24fd-13ae-44a5-b1bf-9dcf8a74bac9</t>
  </si>
  <si>
    <t>Servicios de apoyo en seguridad operacional para sistemas GNSS</t>
  </si>
  <si>
    <t>103115.2</t>
  </si>
  <si>
    <t>GMV AEROSPACE AND DEFENCE S.A.U.</t>
  </si>
  <si>
    <t>Ineco-Dirección Corporativa</t>
  </si>
  <si>
    <t>123738.24</t>
  </si>
  <si>
    <t>151a7aed-c60e-4d8c-ac32-60533b34bddd</t>
  </si>
  <si>
    <t>Acquisition de section avant, de rechanges et l'amélioration de moyens de soutien des Pods Damoclès</t>
  </si>
  <si>
    <t>649a72bd-a73e-4259-a482-c3233356d030</t>
  </si>
  <si>
    <t>15042 — accord-cadre pour la fourniture de rechanges non spécifiques à usage aéronautique pour les ateliers industriels de l'aéronautique d'Ambérieu-en-Bugey, de Bordeaux, de Bretagne, de Clermont-Ferrand et de Cuers-Pierrefeu.</t>
  </si>
  <si>
    <t>AART — AST — Eurotech International — INÉO Support Global — Mainco — TLTI — SEF Industrie</t>
  </si>
  <si>
    <t>AART Electronics — AST — Eurotech International — INÉO Support Global — Mainco — RN Components — SEF Industrie</t>
  </si>
  <si>
    <t>AART — Eurotech International — INÉO Support Global — Mainco — SEF Industrie -TLTI</t>
  </si>
  <si>
    <t>AART Electronics — Eurotech International — INÉO Support Global — Mainco — TLTI</t>
  </si>
  <si>
    <t>6375a9c0-2453-4a0e-b41c-ddb68d2ce037</t>
  </si>
  <si>
    <t>F/A-18 Hornet-hävittäjäkaluston lennonohjausjärjestelmän servojen varaosien hankinta, 4000000872</t>
  </si>
  <si>
    <t>8d33e4e3-9f88-4820-b9cf-8cf5a02fe54d</t>
  </si>
  <si>
    <t>Osallistumishakemus: F/A-18 Hornet-hävittäjäkaluston kuomunlasien ja tuulilasien hankinta, 4000001034</t>
  </si>
  <si>
    <t>PPG dba Sierracin Sylmar Corporation</t>
  </si>
  <si>
    <t>23bb7cc3-a8f4-40f2-a259-1410af4e4d2c</t>
  </si>
  <si>
    <t>F/A-18 Hornet-hävittäjäkaluston eri järjestelmien varaosia, 4000000792.</t>
  </si>
  <si>
    <t>Coastal Mechanics</t>
  </si>
  <si>
    <t>Relli Technology</t>
  </si>
  <si>
    <t>Aeroapace Logistics ltd</t>
  </si>
  <si>
    <t>Eurotradia International</t>
  </si>
  <si>
    <t>c0e38a62-0fe0-451b-9724-308f1ea683b1</t>
  </si>
  <si>
    <t>Hawk Mk51-, Mk51A- ja Mk66-suihkuharjoituskoneiden runko- ja laitevaraosia (osallistumishakemuspyyntö)</t>
  </si>
  <si>
    <t>Global Dynamic Support Ltd</t>
  </si>
  <si>
    <t>ead57c62-9807-4266-9866-924c3ed717c0</t>
  </si>
  <si>
    <t>F/A-18 Hornet-hävittäjäkaluston etureunamekanismin ja siiventaiton varaosien ja - laitteiden hankinta</t>
  </si>
  <si>
    <t>Moog Aircraft Group</t>
  </si>
  <si>
    <t>20e33bc8-f69e-4d38-854b-e5fa24ea6318</t>
  </si>
  <si>
    <t>F-18 Hornet-hävittäjäkaluston F404-GE-402 moottoreiden ja moottoreiden laitteiden kulutusvaraosien hankinta</t>
  </si>
  <si>
    <t>c8ac4d40-2317-410f-a37b-acbff0723cd9</t>
  </si>
  <si>
    <t>F-18 Hornet-hävittäjäkaluston moottorin jälkipoltinmoduulin kulutusvaraosien hankinta</t>
  </si>
  <si>
    <t>9ae1ac12-3c3e-499b-a6ea-2b035b9fa448</t>
  </si>
  <si>
    <t>F/A-18 Hornet-hävittäjäkaluston moottorin ja moottorin laitteiden varaosien hankinta</t>
  </si>
  <si>
    <t>Boeing Distribution Inc.</t>
  </si>
  <si>
    <t>5d037d9d-74f7-456e-9a42-606bc7e945bb</t>
  </si>
  <si>
    <t>Hornet-hävittäjälentokoneen huoltotyö- ja testivälineiden hankinta.</t>
  </si>
  <si>
    <t>70e48b4b-53f9-4e73-977e-e1e8c237020e</t>
  </si>
  <si>
    <t>F/A-18 Hornet-hävittäjäkaluston moottoreiden varaosien hankinta, 4000001361</t>
  </si>
  <si>
    <t>xxxxxxxx</t>
  </si>
  <si>
    <t>64330d3d-d033-4b17-8825-3fc5ef81dd56</t>
  </si>
  <si>
    <t>Osallistumishakemuspyyntö: F/A-18 Hornet-hävittäjäkaluston moottoreiden varaosien hankinta</t>
  </si>
  <si>
    <t>6856.96</t>
  </si>
  <si>
    <t>685457.87</t>
  </si>
  <si>
    <t>111989.63</t>
  </si>
  <si>
    <t>Kellstrom Defence Aerospace Inc.</t>
  </si>
  <si>
    <t>7283.57</t>
  </si>
  <si>
    <t>467.25</t>
  </si>
  <si>
    <t>8bb7dd87-7a73-4ac2-94df-99c7cfd3b82d</t>
  </si>
  <si>
    <t>Hawk Mk51-, Mk51A- ja Mk66 -suihkuharjoituskoneiden jarruvaraosia, OEM Meggitt</t>
  </si>
  <si>
    <t>2665f070-5627-4e72-91c4-d00831f9409a</t>
  </si>
  <si>
    <t>F-18 Hornet-hävittäjäkaluston moottorin jälkipolttimen vaipan korjausosien hankinta</t>
  </si>
  <si>
    <t>5c798210-8eaf-4338-917d-13cceffb756f</t>
  </si>
  <si>
    <t>HN-hävittäjäkaluston laskutelinejärjestelmän varaosahankinta, 4000001032</t>
  </si>
  <si>
    <t>Associated Aircraft Mfq. and Sales Inc</t>
  </si>
  <si>
    <t>Aero Precision, LLC</t>
  </si>
  <si>
    <t>Derco Aerospace, Inc</t>
  </si>
  <si>
    <t>Norcatec, LLC</t>
  </si>
  <si>
    <t>Relli Technology Holland B.V</t>
  </si>
  <si>
    <t>Simtech, Inc</t>
  </si>
  <si>
    <t>S &amp; K Logistics Services, LLC</t>
  </si>
  <si>
    <t>df32d51f-1dc0-4df4-a7d8-4bfa7228ddf7</t>
  </si>
  <si>
    <t>Osallistumishakemus: HN-hävittäjäkaluston lennonohjausjärjestelmän varaosahankinta, 4000001066</t>
  </si>
  <si>
    <t>Associated Aircraft Mfg. and Sales, Inc.</t>
  </si>
  <si>
    <t>Derco Aerospace, Inc.</t>
  </si>
  <si>
    <t>S&amp;K Logistic Services, LLC</t>
  </si>
  <si>
    <t>a854cbeb-8d35-48de-959d-86176d6927a4</t>
  </si>
  <si>
    <t>F/A-18 Hornet -hävittäjäkaluston lennonohjausjärjestelmän varaosien hankinta, 4000000984</t>
  </si>
  <si>
    <t>Associated Aircarft</t>
  </si>
  <si>
    <t>6b0afa41-160b-469d-9e54-077cc0df1c82</t>
  </si>
  <si>
    <t>F/A-18 Hornet-hävittäjäkaluston lennonohjaus- ja sähköntuottojärjestelmän varaosien hankinta, 4000001208</t>
  </si>
  <si>
    <t>105.29</t>
  </si>
  <si>
    <t>8431.83</t>
  </si>
  <si>
    <t>3560.26</t>
  </si>
  <si>
    <t>3586.97</t>
  </si>
  <si>
    <t>1179.31</t>
  </si>
  <si>
    <t>e04d658f-c7ef-4976-a357-525156aca3e0</t>
  </si>
  <si>
    <t>Zaplanowanie, zaprogramowanie i wykonanie rejestracji wysokorozdzielczych zobrazowań satelitarnych SAR w paśmie X do pomiarów interferometrycznych InSAR dla Państwowego Instytutu Geologicznego – Państwowego Instytutu Badawczego.</t>
  </si>
  <si>
    <t>Lider Konsorcjum: SmallGIS Sp. z o.o.</t>
  </si>
  <si>
    <t>Państwowy Instytut Geologiczny – Państwowy Instytut Badawczy</t>
  </si>
  <si>
    <t>df405197-b9cf-4e7b-889d-37cb780c4e2e</t>
  </si>
  <si>
    <t>F-16 Maintenance Services of the Oxygen Demand Regulator and the Lox Converter.</t>
  </si>
  <si>
    <t>1dabf747-c888-4941-ae69-2d57f32848ea</t>
  </si>
  <si>
    <t>F-16 Repair and modification of Gun Hydraulic Drive 2017-End of Life (EOL).</t>
  </si>
  <si>
    <t>International Enterprises, Inc.</t>
  </si>
  <si>
    <t>3110ae38-8568-487b-8a64-0628cdaccae7</t>
  </si>
  <si>
    <t>F-16 LAU-129 Retainers.</t>
  </si>
  <si>
    <t>b8bf46b3-a0cd-4b78-8b69-19d774ee3eae</t>
  </si>
  <si>
    <t>Standard Parts — Royal Netherlands Air Force.</t>
  </si>
  <si>
    <t>37ace6a9-9513-4080-9d86-e2f2b84e0dbe</t>
  </si>
  <si>
    <t>GSE och AEA för Gripen RTAF</t>
  </si>
  <si>
    <t>SAAB Aktiebolag</t>
  </si>
  <si>
    <t>Försvarets materielverk</t>
  </si>
  <si>
    <t>4718ac3d-a776-4cc4-92e5-72c4ba09fa6c</t>
  </si>
  <si>
    <t>Support to GNSS aviation standardisation.</t>
  </si>
  <si>
    <t>0c2304c4-09dc-493e-9db4-994b3c90f24b</t>
  </si>
  <si>
    <t>15.CAT.OP.116 ‘Radar imagery applications supporting actionable intelligence (REACT)’.</t>
  </si>
  <si>
    <t>e-GEOS s.p.A.</t>
  </si>
  <si>
    <t>7ae632bc-7fb0-4900-a626-1cda95a1de97</t>
  </si>
  <si>
    <t>Contract for support in management of Galileo satellite filings — Monitus.</t>
  </si>
  <si>
    <t>8e3f4bd9-d05e-47ba-bc03-89fdaabfeb43</t>
  </si>
  <si>
    <t>Tekniskt systemstöd vidmakthållande Flygbassystem</t>
  </si>
  <si>
    <t>86479871-46c9-4a13-b196-c2c4f7a19b36</t>
  </si>
  <si>
    <t>Materialregistrering reservdelar.</t>
  </si>
  <si>
    <t>Copernicus contracts (&gt; 15 000 euro)</t>
  </si>
  <si>
    <t>#contracts</t>
  </si>
  <si>
    <t>% non EU contracts</t>
  </si>
  <si>
    <t>Total non EU contracts</t>
  </si>
  <si>
    <t>Total #contracts</t>
  </si>
  <si>
    <t>Copernicus Sentinels industrial consortium</t>
  </si>
  <si>
    <t>Sentinel 1</t>
  </si>
  <si>
    <t>Sentinel 2</t>
  </si>
  <si>
    <t>Sentinel 3</t>
  </si>
  <si>
    <t>Sentinel 4</t>
  </si>
  <si>
    <t>Sentinel 5</t>
  </si>
  <si>
    <t>#components</t>
  </si>
  <si>
    <t>% non EU components</t>
  </si>
  <si>
    <t>Total non EU components</t>
  </si>
  <si>
    <t>Total #components</t>
  </si>
  <si>
    <t>Component</t>
  </si>
  <si>
    <t>Supplier</t>
  </si>
  <si>
    <t>GPS</t>
  </si>
  <si>
    <t>RUAG (Austria)</t>
  </si>
  <si>
    <t>TCS</t>
  </si>
  <si>
    <t>PCDU</t>
  </si>
  <si>
    <t>TAS-Etca (Belgium)</t>
  </si>
  <si>
    <t>Basic products</t>
  </si>
  <si>
    <t>MDA (Canada)</t>
  </si>
  <si>
    <t>STR</t>
  </si>
  <si>
    <t>RUAG (Switzerland)</t>
  </si>
  <si>
    <t>Apco (Switzerland)</t>
  </si>
  <si>
    <t>End-to-end SAR system calibration</t>
  </si>
  <si>
    <t>DLR (Germany)</t>
  </si>
  <si>
    <t>FSS</t>
  </si>
  <si>
    <t>Jena-Optronik (Germany)</t>
  </si>
  <si>
    <t>RW</t>
  </si>
  <si>
    <t>Rockwell C (Germany)</t>
  </si>
  <si>
    <t>SAW</t>
  </si>
  <si>
    <t>Astrium (Germany)</t>
  </si>
  <si>
    <t>PVF</t>
  </si>
  <si>
    <t>Orbit analysis</t>
  </si>
  <si>
    <t>GMV (Spain)</t>
  </si>
  <si>
    <t>ECE (Spain)
RUAG (Austria)</t>
  </si>
  <si>
    <t>SBT</t>
  </si>
  <si>
    <t>TAS-E (Spain)</t>
  </si>
  <si>
    <t>Mission &amp; operation scenario analysis</t>
  </si>
  <si>
    <t>OHB (France)</t>
  </si>
  <si>
    <t>TRM, HPA/DRV/LNA chip</t>
  </si>
  <si>
    <t>UMS (France)</t>
  </si>
  <si>
    <t>SAS TRM core chips</t>
  </si>
  <si>
    <t>OMMIC (France)</t>
  </si>
  <si>
    <t>GYRO</t>
  </si>
  <si>
    <t>Astrium SAS (France)</t>
  </si>
  <si>
    <t>MGT</t>
  </si>
  <si>
    <t>Iai Tamam (Israel)</t>
  </si>
  <si>
    <t>LT</t>
  </si>
  <si>
    <t>Rafael (Israel)</t>
  </si>
  <si>
    <t>RCT</t>
  </si>
  <si>
    <t>Prime contractor</t>
  </si>
  <si>
    <t>TAS-I (Italy)</t>
  </si>
  <si>
    <t>Raw data simulation/processor prototype</t>
  </si>
  <si>
    <t>Aresys (Italy)</t>
  </si>
  <si>
    <t>SMSW</t>
  </si>
  <si>
    <t>SSI (Italy)</t>
  </si>
  <si>
    <t>STT</t>
  </si>
  <si>
    <t>Galileo Av. (Italy)</t>
  </si>
  <si>
    <t>CAPS</t>
  </si>
  <si>
    <t xml:space="preserve">Dutch Space (Netherlands)
</t>
  </si>
  <si>
    <t>SRM</t>
  </si>
  <si>
    <t>Kongsberg (Norway)</t>
  </si>
  <si>
    <t>MGM</t>
  </si>
  <si>
    <t>Lusospace (Portugal)</t>
  </si>
  <si>
    <t>ISVV</t>
  </si>
  <si>
    <t>DNV (Norway)
SCV (Portugal)</t>
  </si>
  <si>
    <t>SMU</t>
  </si>
  <si>
    <t>TAS-I (Italy)
RUAG (Sweden)</t>
  </si>
  <si>
    <t>RUAG (Sweden)</t>
  </si>
  <si>
    <t>SBA</t>
  </si>
  <si>
    <t>BTA</t>
  </si>
  <si>
    <t>ABSL (UK)</t>
  </si>
  <si>
    <t>CRGS</t>
  </si>
  <si>
    <t>Honeywell (USA)</t>
  </si>
  <si>
    <t>DSHA</t>
  </si>
  <si>
    <t>TAS-I (Italy)
Scysis (UK)</t>
  </si>
  <si>
    <t>TXA</t>
  </si>
  <si>
    <t>TAS-F (France)</t>
  </si>
  <si>
    <t>XBAA</t>
  </si>
  <si>
    <t>DC &amp; Pyro Harness</t>
  </si>
  <si>
    <t>Latelec (France)</t>
  </si>
  <si>
    <t>RF Harness</t>
  </si>
  <si>
    <t>Rymsa (Spain)</t>
  </si>
  <si>
    <t>1553 B Harness</t>
  </si>
  <si>
    <t>Axon (Germany)</t>
  </si>
  <si>
    <t>PDHT EGSE</t>
  </si>
  <si>
    <t>Siemens A (Austria)</t>
  </si>
  <si>
    <t>Space Eng (Italy)</t>
  </si>
  <si>
    <t>SSBV (Netherlands)</t>
  </si>
  <si>
    <t>PWR SCOE</t>
  </si>
  <si>
    <t>Rovsing (Denmark)</t>
  </si>
  <si>
    <t>TT&amp;C SCOE</t>
  </si>
  <si>
    <t>Siemens (Austria)</t>
  </si>
  <si>
    <t>DC LAS</t>
  </si>
  <si>
    <t>Clemessy (Switzerland)</t>
  </si>
  <si>
    <t>TM/TC FE</t>
  </si>
  <si>
    <t>S/C MGSE</t>
  </si>
  <si>
    <t>Propulsion GSE</t>
  </si>
  <si>
    <t>S-band Suitcase</t>
  </si>
  <si>
    <t>SAR Instrument</t>
  </si>
  <si>
    <t>SAR performance analyses</t>
  </si>
  <si>
    <t>APDN, EPDN, RFHN</t>
  </si>
  <si>
    <t>DA-Design (Finland)</t>
  </si>
  <si>
    <t>TPSU</t>
  </si>
  <si>
    <t>TCU</t>
  </si>
  <si>
    <t>DCU</t>
  </si>
  <si>
    <t>Thermal H/W</t>
  </si>
  <si>
    <t>RUAG A (Austria)</t>
  </si>
  <si>
    <t>APF &amp; ASS</t>
  </si>
  <si>
    <t>Tile antenna non-RF harness</t>
  </si>
  <si>
    <t>Altran (Germany)</t>
  </si>
  <si>
    <t>DEM</t>
  </si>
  <si>
    <t>Sener (Spain)</t>
  </si>
  <si>
    <t>SAS SCOE, power SCOE</t>
  </si>
  <si>
    <t>DCU SCOE</t>
  </si>
  <si>
    <t>Containers, handling &amp; integration, MGSE,
test adapter &amp; depl. test device</t>
  </si>
  <si>
    <t>Test Facilities</t>
  </si>
  <si>
    <t>IABG (Germany)</t>
  </si>
  <si>
    <t>HRM</t>
  </si>
  <si>
    <t>SAR Electronics Subsystem (SES)</t>
  </si>
  <si>
    <t>Astrium Ltd (UK)</t>
  </si>
  <si>
    <t>TXM</t>
  </si>
  <si>
    <t>TGU</t>
  </si>
  <si>
    <t>SES MGSE</t>
  </si>
  <si>
    <t>EPS (UK)</t>
  </si>
  <si>
    <t>SES Harness</t>
  </si>
  <si>
    <t>Kayser-Threde (Germany)</t>
  </si>
  <si>
    <t>SES ICM</t>
  </si>
  <si>
    <t>Syderal (Switzerland)</t>
  </si>
  <si>
    <t>SES MDFE</t>
  </si>
  <si>
    <t>SES DC DC</t>
  </si>
  <si>
    <t>Blu Electronics (Italy)</t>
  </si>
  <si>
    <t>SES EGSE</t>
  </si>
  <si>
    <t>Echo simulator</t>
  </si>
  <si>
    <t>SEA (UK)</t>
  </si>
  <si>
    <t>EGSE software</t>
  </si>
  <si>
    <t>Terma (Denmark)</t>
  </si>
  <si>
    <t>Test equipment</t>
  </si>
  <si>
    <t>GPS receiver</t>
  </si>
  <si>
    <t>Electrical Ground Support Equipment
(EGSE)</t>
  </si>
  <si>
    <t>Mirror polishing</t>
  </si>
  <si>
    <t>AMSO (Belgium)</t>
  </si>
  <si>
    <t>MGSE</t>
  </si>
  <si>
    <t>Sermati (Canada)</t>
  </si>
  <si>
    <t>Solar Array Drive Mechanism</t>
  </si>
  <si>
    <t>Mechanical Ground Support Equipment
(MGSE) for the instrument primary and
secondary structure and the satellites</t>
  </si>
  <si>
    <t xml:space="preserve">APCO (Switzerland), </t>
  </si>
  <si>
    <t>Satellites
Platform procurement and AIT, mass
memory, Coarse Earth and Sun Sensors,
propulsion</t>
  </si>
  <si>
    <t>Prime Contractor: Astrium GmbH (Germany)</t>
  </si>
  <si>
    <t>Star sensors, Video and Compression Unit,
optical filters</t>
  </si>
  <si>
    <t>Optics Balzers Jena (Germany)</t>
  </si>
  <si>
    <t>Magnetometers and magnetorquers</t>
  </si>
  <si>
    <t>ZARM (Germany)</t>
  </si>
  <si>
    <t>Xperion (Germany)</t>
  </si>
  <si>
    <t>Satellite environmental test facilities at
ESTEC</t>
  </si>
  <si>
    <t>ETS (Germany, France)</t>
  </si>
  <si>
    <t>Independent software verification and
validation</t>
  </si>
  <si>
    <t>Platform structure, thermal hardware and
harness</t>
  </si>
  <si>
    <t>Casa Espacio (Spain)</t>
  </si>
  <si>
    <t>Power conditioning and distribution unit,
instrument front-end electronics</t>
  </si>
  <si>
    <t>CRISA (Spain)</t>
  </si>
  <si>
    <t>Mission analysis</t>
  </si>
  <si>
    <t>X-band subsystem, S-band transponder</t>
  </si>
  <si>
    <t>Thales (Spain)</t>
  </si>
  <si>
    <t>with the support of
Iberespacio (Spain)</t>
  </si>
  <si>
    <t>Calibration and shutter mechanism</t>
  </si>
  <si>
    <t>Remote interface unit</t>
  </si>
  <si>
    <t>Patria (Finland)</t>
  </si>
  <si>
    <t>MultiSpectral Instrument
Inertial Measurement Unit, beam splitter
and VNIR detectors</t>
  </si>
  <si>
    <t>ISAE (France)</t>
  </si>
  <si>
    <t>Silicon carbide telescope and mirrors</t>
  </si>
  <si>
    <t>Boostec (France)</t>
  </si>
  <si>
    <t>SWIR detectors</t>
  </si>
  <si>
    <t>Sofradir (France)</t>
  </si>
  <si>
    <t>Instrument harness</t>
  </si>
  <si>
    <t>Data decompression software</t>
  </si>
  <si>
    <t>Magellium (France)</t>
  </si>
  <si>
    <t>Telescope metallic hardware</t>
  </si>
  <si>
    <t>Admatis (Hungary)</t>
  </si>
  <si>
    <t>HU</t>
  </si>
  <si>
    <t>X-band antenna</t>
  </si>
  <si>
    <t>Thales (Italy)</t>
  </si>
  <si>
    <t>Clemessy (Italy)</t>
  </si>
  <si>
    <t>Ground prototype processor</t>
  </si>
  <si>
    <t>ACS (Italy)</t>
  </si>
  <si>
    <t>Reaction wheels</t>
  </si>
  <si>
    <t>Bradford Engineering (Netherlands)</t>
  </si>
  <si>
    <t>Software support</t>
  </si>
  <si>
    <t>Critical Software (Portugal)</t>
  </si>
  <si>
    <t>Onboard Computer, S-band and GPS
antennas</t>
  </si>
  <si>
    <t>e2v Technologies (UK) for
the VNIR detectors</t>
  </si>
  <si>
    <t>Batteries</t>
  </si>
  <si>
    <t>Materion/Barr (USA) for optical filters</t>
  </si>
  <si>
    <t>Miniature Inertial Measurement Unit</t>
  </si>
  <si>
    <t>AMOS (Belgium)</t>
  </si>
  <si>
    <t>AOCS engineering support</t>
  </si>
  <si>
    <t>NCG (Canada)</t>
  </si>
  <si>
    <t>O-SPS scene generator</t>
  </si>
  <si>
    <t>Vista (Germany)</t>
  </si>
  <si>
    <t>PA software</t>
  </si>
  <si>
    <t>ETIQ (Germany)</t>
  </si>
  <si>
    <t>Deimos (Spain)</t>
  </si>
  <si>
    <t>Support to PA activities</t>
  </si>
  <si>
    <t>Alter (Spain)</t>
  </si>
  <si>
    <t>Thales Alenia Space España (Spain)</t>
  </si>
  <si>
    <t>CPPA</t>
  </si>
  <si>
    <t>O-GPP</t>
  </si>
  <si>
    <t>SRAL GPP</t>
  </si>
  <si>
    <t>Isardsat (Spain)</t>
  </si>
  <si>
    <t>GPS GPP &amp; SPS</t>
  </si>
  <si>
    <t>Satellite Prime Contractor</t>
  </si>
  <si>
    <t>Thales Alenia Space (France)</t>
  </si>
  <si>
    <t>OLC Mission expertise</t>
  </si>
  <si>
    <t>ACRI-ST (France)</t>
  </si>
  <si>
    <t>Topography Mission expertise support</t>
  </si>
  <si>
    <t>CLS (France)</t>
  </si>
  <si>
    <t>Assystem (France)</t>
  </si>
  <si>
    <t>Satellite reference database</t>
  </si>
  <si>
    <t>Altran (Luxembourg)</t>
  </si>
  <si>
    <t>Altior (Portugal)</t>
  </si>
  <si>
    <t>MWR GPP</t>
  </si>
  <si>
    <t>Deimos (Portugal)</t>
  </si>
  <si>
    <t>Support to validation</t>
  </si>
  <si>
    <t>Skysoft (Portugal)</t>
  </si>
  <si>
    <t>Central software</t>
  </si>
  <si>
    <t>Support to satellite engineering</t>
  </si>
  <si>
    <t>Altran (Sweden)</t>
  </si>
  <si>
    <t>SLST Mission expertise support</t>
  </si>
  <si>
    <t>Rutherford Appleton Laboratory (UK)</t>
  </si>
  <si>
    <t>AOCS SCOE</t>
  </si>
  <si>
    <t>Studiel UK (UK)</t>
  </si>
  <si>
    <t>Schedule/documentation/configuration</t>
  </si>
  <si>
    <t>VEGA</t>
  </si>
  <si>
    <t>Platform Prime Contractor/System
Engineering Support</t>
  </si>
  <si>
    <t>Battery</t>
  </si>
  <si>
    <t>PDHU</t>
  </si>
  <si>
    <t>Astrium GmbH (Germany)</t>
  </si>
  <si>
    <t>Thales Alenia Space ETCA (Belgium)</t>
  </si>
  <si>
    <t>Structure</t>
  </si>
  <si>
    <t>Thermal control</t>
  </si>
  <si>
    <t>EADS Casa Espacio (Spain)</t>
  </si>
  <si>
    <t>SADM</t>
  </si>
  <si>
    <t>Solar Array Wings</t>
  </si>
  <si>
    <t>Vitrociset (Italy)</t>
  </si>
  <si>
    <t>TMTC DFE</t>
  </si>
  <si>
    <t>1553 SCOE</t>
  </si>
  <si>
    <t>Techno System Development (Italy)</t>
  </si>
  <si>
    <t>TTC SCOE</t>
  </si>
  <si>
    <t>Pyro Power SCOE</t>
  </si>
  <si>
    <t>Active Space Technologies GmbH (Germany)</t>
  </si>
  <si>
    <t>Platform harness</t>
  </si>
  <si>
    <t>RYMSA (Spain)</t>
  </si>
  <si>
    <t>Platform DC &amp; pyro harness</t>
  </si>
  <si>
    <t>OLCI Prime Contractor</t>
  </si>
  <si>
    <t>CCD</t>
  </si>
  <si>
    <t>E2V (UK)</t>
  </si>
  <si>
    <t>Detection chain architecture</t>
  </si>
  <si>
    <t>Camera Optical Sub-Assembly</t>
  </si>
  <si>
    <t>EADS SODERN (France)</t>
  </si>
  <si>
    <t>FPA/VAM</t>
  </si>
  <si>
    <t>Thermal control support</t>
  </si>
  <si>
    <t>Calibration mechanisms &amp; HW</t>
  </si>
  <si>
    <t>CSL (Belgium)</t>
  </si>
  <si>
    <t>OEU</t>
  </si>
  <si>
    <t>Scrambling window assembly</t>
  </si>
  <si>
    <t>TNO (Netherlands)</t>
  </si>
  <si>
    <t>EGSE camera OLCI</t>
  </si>
  <si>
    <t>STCA</t>
  </si>
  <si>
    <t>APCO (Switzerland)</t>
  </si>
  <si>
    <t>Instrument EGSE</t>
  </si>
  <si>
    <t xml:space="preserve"> Clemessy (Switzerland)</t>
  </si>
  <si>
    <t>Support to OLCI engineering</t>
  </si>
  <si>
    <t>SWA</t>
  </si>
  <si>
    <t>EGSE</t>
  </si>
  <si>
    <t>AUSY (Belgium)</t>
  </si>
  <si>
    <t>Support to AIT</t>
  </si>
  <si>
    <t>Harness</t>
  </si>
  <si>
    <t>BTS (France)</t>
  </si>
  <si>
    <t>OGSE</t>
  </si>
  <si>
    <t>Various companies</t>
  </si>
  <si>
    <t>Avantis (France)</t>
  </si>
  <si>
    <t>RIS simulator monitoring</t>
  </si>
  <si>
    <t>Sun simulator refurbishment</t>
  </si>
  <si>
    <t>SESO (France)</t>
  </si>
  <si>
    <t>SRAL Prime Contractor</t>
  </si>
  <si>
    <t>RFU Boards</t>
  </si>
  <si>
    <t>SRAL EGSE PTF S/S</t>
  </si>
  <si>
    <t>SRAL PSU C &amp; Ku band</t>
  </si>
  <si>
    <t>SRAL RFU C-band duplexer</t>
  </si>
  <si>
    <t>Chelton (France)</t>
  </si>
  <si>
    <t>SRAL EGSE RF S/S</t>
  </si>
  <si>
    <t>SRAL RFU Ku-band duplexer</t>
  </si>
  <si>
    <t>COMDEV (UK)</t>
  </si>
  <si>
    <t>RFU DC/DC converter</t>
  </si>
  <si>
    <t>CAEN (Italy)</t>
  </si>
  <si>
    <t>DC/DC, DPU/RFU boards manufacturing</t>
  </si>
  <si>
    <t>Antenna S/S</t>
  </si>
  <si>
    <t>EGSE digital S/S</t>
  </si>
  <si>
    <t>ISIS (France)</t>
  </si>
  <si>
    <t>EGSE measurement S/S</t>
  </si>
  <si>
    <t>Assystem Iberia (Spain)</t>
  </si>
  <si>
    <t>C-band switch</t>
  </si>
  <si>
    <t>Radiall (France)</t>
  </si>
  <si>
    <t>Ku-band switch</t>
  </si>
  <si>
    <t>Tesat (Germany)</t>
  </si>
  <si>
    <t>DC harness</t>
  </si>
  <si>
    <t>RF harness</t>
  </si>
  <si>
    <t>MWR Prime Contractor</t>
  </si>
  <si>
    <t>EADS CASA (Spain)</t>
  </si>
  <si>
    <t>REU</t>
  </si>
  <si>
    <t>RFFE</t>
  </si>
  <si>
    <t>RPM</t>
  </si>
  <si>
    <t>EADS CRISA (Spain)</t>
  </si>
  <si>
    <t>HV Sistemas (Spain)</t>
  </si>
  <si>
    <t>Calibration targets</t>
  </si>
  <si>
    <t>ITD (Spain)</t>
  </si>
  <si>
    <t>Test facilities</t>
  </si>
  <si>
    <t>SLSTR Prime Contractor</t>
  </si>
  <si>
    <t>Selex Galileo (Italy)</t>
  </si>
  <si>
    <t>Opto-Mechanical Enclosure</t>
  </si>
  <si>
    <t>Black body S/S &amp; temperature measurement
electronics</t>
  </si>
  <si>
    <t>Visible calibration unit</t>
  </si>
  <si>
    <t>MKE (Germany)</t>
  </si>
  <si>
    <t>CFT (Germany)</t>
  </si>
  <si>
    <t>Parabolic mirror</t>
  </si>
  <si>
    <t>Multilayer insulation</t>
  </si>
  <si>
    <t>FMC/FMD</t>
  </si>
  <si>
    <t>OGSE collimator</t>
  </si>
  <si>
    <t>Trioptics (Germany)</t>
  </si>
  <si>
    <t>OME MGSE</t>
  </si>
  <si>
    <t>Scan mirror/scan drive components</t>
  </si>
  <si>
    <t>Thermal HW</t>
  </si>
  <si>
    <t>Iberespacio (Spain)</t>
  </si>
  <si>
    <t>External test facilities</t>
  </si>
  <si>
    <t>Calibration engineering &amp; tests</t>
  </si>
  <si>
    <t>IR detector units</t>
  </si>
  <si>
    <t>AIM (Germany)</t>
  </si>
  <si>
    <t>SLCPE</t>
  </si>
  <si>
    <t>Cryocooler S/S</t>
  </si>
  <si>
    <t>Astrium (UK)</t>
  </si>
  <si>
    <t>SLSTR visible detectors</t>
  </si>
  <si>
    <t>OSI (Norway)</t>
  </si>
  <si>
    <t>Avionics</t>
  </si>
  <si>
    <t>In situ SVF simulation SW</t>
  </si>
  <si>
    <t>Virtual EM realtime SW</t>
  </si>
  <si>
    <t>TCP (Spain)</t>
  </si>
  <si>
    <t>GNSS</t>
  </si>
  <si>
    <t>StarTracker</t>
  </si>
  <si>
    <t>MAG</t>
  </si>
  <si>
    <t>Coarse sun sensor</t>
  </si>
  <si>
    <t>Latch valve</t>
  </si>
  <si>
    <t>RTG (Germany)</t>
  </si>
  <si>
    <t>Tank</t>
  </si>
  <si>
    <t>MT-SP (UK)</t>
  </si>
  <si>
    <t>Coarse rate sensor</t>
  </si>
  <si>
    <t>SELEX Sensors (UK)</t>
  </si>
  <si>
    <t>Thrusters</t>
  </si>
  <si>
    <t>AMPAC (UK)</t>
  </si>
  <si>
    <t>Virtual EM HW elements</t>
  </si>
  <si>
    <t>SVF SMU simulator model development</t>
  </si>
  <si>
    <t>MTB</t>
  </si>
  <si>
    <t>Tamam (Israel)</t>
  </si>
  <si>
    <t>Reaction wheel assembly</t>
  </si>
  <si>
    <t>RCD (German)</t>
  </si>
  <si>
    <t>FDV</t>
  </si>
  <si>
    <t>SAPT</t>
  </si>
  <si>
    <t>Bradford (Netherlands)</t>
  </si>
  <si>
    <t>Filters</t>
  </si>
  <si>
    <t>Sofrance (France)</t>
  </si>
  <si>
    <t>VEM LVDS PC</t>
  </si>
  <si>
    <t>ADAS Lorin (France)</t>
  </si>
  <si>
    <t>VCF VEM
Support to validation</t>
  </si>
  <si>
    <t>Astek (Switzerland)</t>
  </si>
  <si>
    <t>(AIT) OGSE</t>
  </si>
  <si>
    <t>MICOS</t>
  </si>
  <si>
    <t xml:space="preserve">Optek </t>
  </si>
  <si>
    <t>NPL</t>
  </si>
  <si>
    <t>Aperature Cover</t>
  </si>
  <si>
    <t>RUAG</t>
  </si>
  <si>
    <t>Active Space</t>
  </si>
  <si>
    <t>Beam Splitter Assy.</t>
  </si>
  <si>
    <t>JOP</t>
  </si>
  <si>
    <t>IOF</t>
  </si>
  <si>
    <t>Sagem</t>
  </si>
  <si>
    <t>C&amp;C Facilities</t>
  </si>
  <si>
    <t>STFC</t>
  </si>
  <si>
    <t>RAL</t>
  </si>
  <si>
    <t>C&amp;C OGSE</t>
  </si>
  <si>
    <t>UCLC</t>
  </si>
  <si>
    <t>Durham University</t>
  </si>
  <si>
    <t>Calibration Assy.</t>
  </si>
  <si>
    <t>CSL</t>
  </si>
  <si>
    <t>Data Evaluation EGSE</t>
  </si>
  <si>
    <t>Siemens</t>
  </si>
  <si>
    <t xml:space="preserve">Terma </t>
  </si>
  <si>
    <t>Environmental Test Facilities</t>
  </si>
  <si>
    <t>IABG</t>
  </si>
  <si>
    <t>Grating</t>
  </si>
  <si>
    <t>Airbus D&amp;S</t>
  </si>
  <si>
    <t>Grism</t>
  </si>
  <si>
    <t>Altran</t>
  </si>
  <si>
    <t>Heat Pipes</t>
  </si>
  <si>
    <t>Iberespacio</t>
  </si>
  <si>
    <t>Hexapods Struts</t>
  </si>
  <si>
    <t>OHB</t>
  </si>
  <si>
    <t>ICCDB</t>
  </si>
  <si>
    <t>ICU Simulator</t>
  </si>
  <si>
    <t>Instru Central Check-out System</t>
  </si>
  <si>
    <t>Instru. Data Simulator</t>
  </si>
  <si>
    <t>S&amp;T</t>
  </si>
  <si>
    <t>NILU</t>
  </si>
  <si>
    <t>Instru. Env. Simulator</t>
  </si>
  <si>
    <t>Instrument Reference Database</t>
  </si>
  <si>
    <t>Instrument Turn &amp; Tilt Table</t>
  </si>
  <si>
    <t>CEMEC</t>
  </si>
  <si>
    <t>IQT Framework</t>
  </si>
  <si>
    <t>IQT Hardware</t>
  </si>
  <si>
    <t>IQT Software</t>
  </si>
  <si>
    <t>L1bPP</t>
  </si>
  <si>
    <t>SSF</t>
  </si>
  <si>
    <t>MLI</t>
  </si>
  <si>
    <t>HPS</t>
  </si>
  <si>
    <t>NIR Spectrometer Optics Assy.</t>
  </si>
  <si>
    <t>OA MGSE</t>
  </si>
  <si>
    <t>Astro</t>
  </si>
  <si>
    <t>OIM Structure</t>
  </si>
  <si>
    <t>Invent</t>
  </si>
  <si>
    <t>Perfo. Assessment Tool</t>
  </si>
  <si>
    <t>ESC</t>
  </si>
  <si>
    <t>PISA</t>
  </si>
  <si>
    <t>Polarisation Scrambler</t>
  </si>
  <si>
    <t>Sodem</t>
  </si>
  <si>
    <t>Purging Equipment</t>
  </si>
  <si>
    <t>Radiators/Thermal Heat Shields</t>
  </si>
  <si>
    <t>Scanner Subsystem</t>
  </si>
  <si>
    <t>AMOS</t>
  </si>
  <si>
    <t>Crisa</t>
  </si>
  <si>
    <t>Telescope Optics Assy.</t>
  </si>
  <si>
    <t>Thermistors, Heaters etc.</t>
  </si>
  <si>
    <t>Transport Container &amp; General MGSE</t>
  </si>
  <si>
    <t>APCO</t>
  </si>
  <si>
    <t xml:space="preserve">UV/VIS Spectrometer Optics Assy. </t>
  </si>
  <si>
    <t>IOMT</t>
  </si>
  <si>
    <t>ATOS</t>
  </si>
  <si>
    <t>C&amp;C OGSE SM, test support, E2E verification</t>
  </si>
  <si>
    <t xml:space="preserve">Structure </t>
  </si>
  <si>
    <t>Almatech</t>
  </si>
  <si>
    <t>CAS</t>
  </si>
  <si>
    <t>Micos</t>
  </si>
  <si>
    <t>Airbus Defence and Space GMBH</t>
  </si>
  <si>
    <t xml:space="preserve">CFRP panels </t>
  </si>
  <si>
    <t>Xperion</t>
  </si>
  <si>
    <t>Heat pipes</t>
  </si>
  <si>
    <t>Airbus DS GMBH</t>
  </si>
  <si>
    <t>Mechanical engineering &amp; mech. MAIT</t>
  </si>
  <si>
    <t>STI</t>
  </si>
  <si>
    <t>NIR SO</t>
  </si>
  <si>
    <t>Jena Optronik</t>
  </si>
  <si>
    <t>Lenses manufacturing</t>
  </si>
  <si>
    <t>Asphericon</t>
  </si>
  <si>
    <t>Horiba</t>
  </si>
  <si>
    <t>GPCM</t>
  </si>
  <si>
    <t>Instrument test facilities</t>
  </si>
  <si>
    <t>QLAT, ICCS</t>
  </si>
  <si>
    <t>Terma</t>
  </si>
  <si>
    <t>AIT OGSE light source, MGSE, mech. Support</t>
  </si>
  <si>
    <t>LusoSpace DK</t>
  </si>
  <si>
    <t>UVN FEE</t>
  </si>
  <si>
    <t>DSE</t>
  </si>
  <si>
    <t>SWIR FEE</t>
  </si>
  <si>
    <t>SWIR Optical bench</t>
  </si>
  <si>
    <t>SENER</t>
  </si>
  <si>
    <t>Lenses &amp; mirror manufacturing</t>
  </si>
  <si>
    <t>Solaris Optics</t>
  </si>
  <si>
    <t>ICS</t>
  </si>
  <si>
    <t>ICS ASW</t>
  </si>
  <si>
    <t>GMV</t>
  </si>
  <si>
    <t>OGSE Mechanism</t>
  </si>
  <si>
    <t>PiMicos Iberia</t>
  </si>
  <si>
    <t>Focal Planes</t>
  </si>
  <si>
    <t>Airbus Defence and Space SAS</t>
  </si>
  <si>
    <t>SWIR MCT</t>
  </si>
  <si>
    <t>Sofradir SAS</t>
  </si>
  <si>
    <t>UV2VIS SO</t>
  </si>
  <si>
    <t>Sodern</t>
  </si>
  <si>
    <t>Mechanical parts</t>
  </si>
  <si>
    <t>MECA-CHROME</t>
  </si>
  <si>
    <t>INSTESPACE</t>
  </si>
  <si>
    <t>LED qualification</t>
  </si>
  <si>
    <t>ADVEOTEC</t>
  </si>
  <si>
    <t>Latelec</t>
  </si>
  <si>
    <t>SWIR S/S</t>
  </si>
  <si>
    <t>Leonardo</t>
  </si>
  <si>
    <t>DTM</t>
  </si>
  <si>
    <t>Optical engineering</t>
  </si>
  <si>
    <t>TNO</t>
  </si>
  <si>
    <t>Data processing equipment</t>
  </si>
  <si>
    <t>Airbus Defence and Space Netherlands BV</t>
  </si>
  <si>
    <t>C&amp;C engineering</t>
  </si>
  <si>
    <t>Flexible thermal straps</t>
  </si>
  <si>
    <t>Airbus Defence and Space NL BV</t>
  </si>
  <si>
    <t>TSBOA</t>
  </si>
  <si>
    <t>UV1 SO</t>
  </si>
  <si>
    <t>SWIR Grating</t>
  </si>
  <si>
    <t>SRON</t>
  </si>
  <si>
    <t>LusoSpace</t>
  </si>
  <si>
    <t>ICCS, IDHS SW, rack &amp; system integration &amp; test</t>
  </si>
  <si>
    <t>Siemens CVC Romania</t>
  </si>
  <si>
    <t>UVN CCD</t>
  </si>
  <si>
    <t>e2v Technologies ltd</t>
  </si>
  <si>
    <t>Quality assurance</t>
  </si>
  <si>
    <t>Asteel Flash</t>
  </si>
  <si>
    <t>Thermal-mechanical analysis</t>
  </si>
  <si>
    <t xml:space="preserve">SOGECLAIR </t>
  </si>
  <si>
    <t>C&amp;C Test facilities</t>
  </si>
  <si>
    <t>Name of Recipient</t>
  </si>
  <si>
    <t>Summary of Activities</t>
  </si>
  <si>
    <t>Contract value</t>
  </si>
  <si>
    <t>ARIANESPACE S. A.</t>
  </si>
  <si>
    <t>PROVISION OF THE LAUNCH SERVICES FOR THE SENTINEL-2 PAYLOAD</t>
  </si>
  <si>
    <t>6,825,700.00</t>
  </si>
  <si>
    <t>EUROCKOT LAUNCH SERVICES GMBH</t>
  </si>
  <si>
    <t>PROVISION OF THE LAUNCH SERVICES FOR THE SENTINEL-5P PAYLOAD</t>
  </si>
  <si>
    <t>26,900,000.00</t>
  </si>
  <si>
    <t>PREPARATION AND OPERATION OF THE CORE X-BAND ACQUISITION
AND NEAR REAL-TIME FACILITIES FOR THE COPERNICUS SENTINEL
SATELLITES: MATERA GROUND STATION</t>
  </si>
  <si>
    <t>13,378,925.00</t>
  </si>
  <si>
    <t>KONGSBERG SATELLITE SERVICES AS
(KSAT)</t>
  </si>
  <si>
    <t>PREPARATION AND OPERATION OF THE CORE X-BAND ACQUISITION
AND NEAR REAL-TIME FACILITIES FOR THE COPERNICUS SENTINEL
SATELLITES: SVALBARD GROUND STATION</t>
  </si>
  <si>
    <t>43,662,184.00</t>
  </si>
  <si>
    <t>Collecte Localisation Satellites (CLS)</t>
  </si>
  <si>
    <t>MISSION PERFORMANCE CENTERS (MPC) FOR SENTINEL 1A/B. MPCs
are responsible for calibration, validation, quality control and end-to-end
system performance assessment. The MPCs include expert teams for
specific cal/val, off-line quality control and algorithm correction
activities.</t>
  </si>
  <si>
    <t>6,473,009.00</t>
  </si>
  <si>
    <t>T-SYSTEMS INTERNATIONAL GMBH</t>
  </si>
  <si>
    <t>DATA CIRCULATION &amp; DISSEMINATION FOR THE WIDE AREA NETWORK
(WAN) AND SECURITY SERVICES FOR THE COPERNICUS SENTINELS
SATELLITES</t>
  </si>
  <si>
    <t>16,072,707.21</t>
  </si>
  <si>
    <t>• Copernicus 2015</t>
  </si>
  <si>
    <t>ABSL SPACE PRODUCTS</t>
  </si>
  <si>
    <t>{Sentinel 1 Satellites C/D IJnits construction</t>
  </si>
  <si>
    <t>3,038,000.00</t>
  </si>
  <si>
    <t>Sentinel 2 Satellites C/D Units construction</t>
  </si>
  <si>
    <t>997,000.00</t>
  </si>
  <si>
    <t>(Sentinel 3 Satellite C/D Units Construction</t>
  </si>
  <si>
    <t>1,049,735.00</t>
  </si>
  <si>
    <t>ACM-ST S.A.S.</t>
  </si>
  <si>
    <t>MISSION PERFORMANCE CENTERS (MPC) FOR SENTINELS. MPCs are responsible for calibration, :validation, quality control and end-to-end system performance assessment. The MPCs include expert teams for specific cal/val, off-line quality control and algorithm correction activities.</t>
  </si>
  <si>
    <t>21,882,062.00</t>
  </si>
  <si>
    <t>ACRI-ST S.A.S.</t>
  </si>
  <si>
    <t>Preparations and operations of the off-line Processing and Archiving Centres for sentinel {satellites</t>
  </si>
  <si>
    <t>7,745,656.00</t>
  </si>
  <si>
    <t>(Sentinel 3 Payload Data Ground Segment (PDGS) system operations, maintenance and evolutions</t>
  </si>
  <si>
    <t>24,513.00</t>
  </si>
  <si>
    <t>ACS ADVANCED COMPUTER SYSTEMS</t>
  </si>
  <si>
    <t>Sentinel 2 Payload Data Ground Segment (PDGS) system operations, maintenance and evolutions</t>
  </si>
  <si>
    <t>229,145.00</t>
  </si>
  <si>
    <t>ADMATIS LTD</t>
  </si>
  <si>
    <t>'Sentinel 2 Satellites C/D Units construction</t>
  </si>
  <si>
    <t>609,810.00</t>
  </si>
  <si>
    <t>ADVANCED COMPUTER SYSTEMS SPA</t>
  </si>
  <si>
    <t>71,455.00</t>
  </si>
  <si>
    <t>AIM INFRAROT-MODULE GMBH</t>
  </si>
  <si>
    <t>Sentinel 3 Satellite C/D Units Construction</t>
  </si>
  <si>
    <t>1,815,000.00</t>
  </si>
  <si>
    <t>AIRBUS OEFENCE SPACE NETHERLANDS</t>
  </si>
  <si>
    <t>Sentinel 1 Satellites C/D Units construction</t>
  </si>
  <si>
    <t>5,750,000.00</t>
  </si>
  <si>
    <t>AIRBUS DEFENCE SPACE NETHERLANDS</t>
  </si>
  <si>
    <t>3,809,134.00</t>
  </si>
  <si>
    <t>AIRBUS OEFENCE AND SPACE LIMITED</t>
  </si>
  <si>
    <t>{Sentinel 1 Satellites C/D Units construction</t>
  </si>
  <si>
    <t>38,850,408.00</t>
  </si>
  <si>
    <t>AIRBUS DEFENCE AND SPACE LIMITED</t>
  </si>
  <si>
    <t>14,568,301.00</t>
  </si>
  <si>
    <t>Sentinel 6B Satellite Instrument Construction</t>
  </si>
  <si>
    <t>862,500.00</t>
  </si>
  <si>
    <t>AIRBUS DEFENCE AND SPACE SAS</t>
  </si>
  <si>
    <t>Sentinel 1 Payload Data Ground Segment (PDGS) system operations, maintenance and evolutions</t>
  </si>
  <si>
    <t>49,250,234.00</t>
  </si>
  <si>
    <t>66,442,394.00</t>
  </si>
  <si>
    <t>AIRBUS DEFENCE ANO SPACE SAS</t>
  </si>
  <si>
    <t>Sentinel 68 Satellite Instrument Construction</t>
  </si>
  <si>
    <t>455,700.00</t>
  </si>
  <si>
    <t>AIRBUS OSGEO GMBH</t>
  </si>
  <si>
    <t>Copern icus Space Compon ent - Data Warehouse activities</t>
  </si>
  <si>
    <t>11,777,493.00</t>
  </si>
  <si>
    <t>AIRBUS OSGEO SA</t>
  </si>
  <si>
    <t>Copernicus Space Component - Data Warehouse activities</t>
  </si>
  <si>
    <t>47,305,933.00</t>
  </si>
  <si>
    <t>Airbus OS GmbH</t>
  </si>
  <si>
    <t>723,773.00</t>
  </si>
  <si>
    <t>Airbus DS GmbH</t>
  </si>
  <si>
    <t>4,567,276.00</t>
  </si>
  <si>
    <t>AIRBUS OS Ltd</t>
  </si>
  <si>
    <t>Preparations and operations of the off-line Processing and Archiving Centres for sentinel satellites</t>
  </si>
  <si>
    <t>8,923,445.29</t>
  </si>
  <si>
    <t>8,164,300.70</t>
  </si>
  <si>
    <t>AKKA TECHNOLOGIES</t>
  </si>
  <si>
    <t>303,300.00</t>
  </si>
  <si>
    <t>ALTRAN GmbH CO.KG</t>
  </si>
  <si>
    <t>1,120,000.00</t>
  </si>
  <si>
    <t>'Sentinel 3 Satellite C/D Units Construction</t>
  </si>
  <si>
    <t>1,518,852.00</t>
  </si>
  <si>
    <t>AMOS, ADVANCED MECHANICALAND OPTICAL</t>
  </si>
  <si>
    <t>1,860,000.00</t>
  </si>
  <si>
    <t>APCO TECHNOLOGIES SA</t>
  </si>
  <si>
    <t>304,000.00</t>
  </si>
  <si>
    <t>ARCO TECHNOLOGIES SA</t>
  </si>
  <si>
    <t>5,565,466.00</t>
  </si>
  <si>
    <t>6,193,604.00</t>
  </si>
  <si>
    <t>ARESYSSRL</t>
  </si>
  <si>
    <t>SAR (Synthetic Aperture Radar) instruments on Sentinel satellites</t>
  </si>
  <si>
    <t>99,980.00</t>
  </si>
  <si>
    <t>3.84,100.00</t>
  </si>
  <si>
    <t>ARE-SYS SRL</t>
  </si>
  <si>
    <t>{Sentinel 1B Phase E Activities</t>
  </si>
  <si>
    <t>31,800.00</t>
  </si>
  <si>
    <t>ARIANESPACE</t>
  </si>
  <si>
    <t>70,356,152.05</t>
  </si>
  <si>
    <t>ASTRIUM GMBH - SATELLITES</t>
  </si>
  <si>
    <t>DATA RELAY SERVICES FOR COPERNICUS SENTINELS (EDRS)</t>
  </si>
  <si>
    <t>70,492,472.00</t>
  </si>
  <si>
    <t>ASTRIUV GMBH - SATELLITES</t>
  </si>
  <si>
    <t>(Sentinel 1 Satellites C/D Units construction</t>
  </si>
  <si>
    <t>76,393,104.00</t>
  </si>
  <si>
    <t>Sentinel 1B Phase E Activities</t>
  </si>
  <si>
    <t>546,8.89.00</t>
  </si>
  <si>
    <t>{Sentinel 2 Satellites C/D Units construction</t>
  </si>
  <si>
    <t>101,702,188.00</t>
  </si>
  <si>
    <t>•Sentinel 2A Phase E Activities</t>
  </si>
  <si>
    <t>6,388,000.00</t>
  </si>
  <si>
    <t>•Sentinel 3 Satellite C/D Units Construction</t>
  </si>
  <si>
    <t>6,471,809.00</t>
  </si>
  <si>
    <t>Sentinel 5 Satellites- Recurrent Models B and C</t>
  </si>
  <si>
    <t>81,261,548.00</t>
  </si>
  <si>
    <t>4,061,579.00</t>
  </si>
  <si>
    <t>AXON KABELGMBH</t>
  </si>
  <si>
    <t>•Sentinel 1 Satellites C/D Units construction</t>
  </si>
  <si>
    <t>250,000.00</t>
  </si>
  <si>
    <t>Black8ridge AG</t>
  </si>
  <si>
    <t>•Copernicus Space Component - Data Warehouse activities</t>
  </si>
  <si>
    <t>6,867,262.00</t>
  </si>
  <si>
    <t>BLU ELECTRONIC SRO</t>
  </si>
  <si>
    <t>800,000.00</t>
  </si>
  <si>
    <t>BOOSTEC</t>
  </si>
  <si>
    <t>2,745,000.00</t>
  </si>
  <si>
    <t>Bradford Engineering B.V.</t>
  </si>
  <si>
    <t>156,182.00</t>
  </si>
  <si>
    <t>CLEMESSY SWITZERLAND AG</t>
  </si>
  <si>
    <t>•Sentinel 1 Satellites C/D Units construction MISSION PERFORMANCE CENTERS (MPC) FOR SENTINELS. MPCs are responsible for calibration,</t>
  </si>
  <si>
    <t>213,100.00</t>
  </si>
  <si>
    <t>CLS</t>
  </si>
  <si>
    <t>:validation, quality control and end-to-end system performance assessment. The MPCs include {expert teams for specific cal/val, off-line quality control and algorithm correction activities.</t>
  </si>
  <si>
    <t>1,504,155.00</t>
  </si>
  <si>
    <t>• Preparations and operations of the off-line Processing and Archiving Centres for sentinel {satellites</t>
  </si>
  <si>
    <t>5,513,063.00</t>
  </si>
  <si>
    <t>C08HAM CHELTON TELECOM MICROWAVE</t>
  </si>
  <si>
    <t>1,050,000.00</t>
  </si>
  <si>
    <t>COM DEV EUROPE</t>
  </si>
  <si>
    <t>3,050,000.00</t>
  </si>
  <si>
    <t>CRISASA</t>
  </si>
  <si>
    <t>•Sentinel 2 Satellites C/D Units construction</t>
  </si>
  <si>
    <t>7,632,876.00</t>
  </si>
  <si>
    <t>CRISA SA</t>
  </si>
  <si>
    <t>:Sentinel 3 Satellite C/D Units Construction</t>
  </si>
  <si>
    <t>5,182,489.00</t>
  </si>
  <si>
    <t>542,378.00</t>
  </si>
  <si>
    <t>CRITICAL SOFTWARE SA</t>
  </si>
  <si>
    <t>{Sentinel 1 Satellites C/D Units construction MISSION PERFORMANCE CENTERS (MPC) FOR SENTINELS. MPCs are responsible for calibration,</t>
  </si>
  <si>
    <t>394,000.00</t>
  </si>
  <si>
    <t>CS SYSTEMES D INFORMATION</t>
  </si>
  <si>
    <t>Ivalidation, quality control and end-to-end system performance assessment. The MPCs include •expert teams for specific cal/val, off-line quality control and algorithm correction activities.</t>
  </si>
  <si>
    <t>10,412,247.00</t>
  </si>
  <si>
    <t>CS SYSTEMS D INFORMATION</t>
  </si>
  <si>
    <t>:Sentinel 2 Payload Data Ground Segment (PDGS) system operations, maintenance and evolutions</t>
  </si>
  <si>
    <t>147,670.00</t>
  </si>
  <si>
    <t>DA-DESIGN OY</t>
  </si>
  <si>
    <t>4,100,000.00</t>
  </si>
  <si>
    <t>OEIMOS ENGENHARIA S.A.</t>
  </si>
  <si>
    <t>108,040.00</t>
  </si>
  <si>
    <t>DEMOS IMAGING S.L.U.</t>
  </si>
  <si>
    <t>Copernicus Space Compon ent - Data Warehouse activities</t>
  </si>
  <si>
    <t>18,969,686.00</t>
  </si>
  <si>
    <t>DEMOS SPACE S.L.U</t>
  </si>
  <si>
    <t>•Copernicus Space Compon ent - Data Warehouse activities</t>
  </si>
  <si>
    <t>606,576.00</t>
  </si>
  <si>
    <t>215,935.00</t>
  </si>
  <si>
    <t>DLR - Germen Aerospace Center</t>
  </si>
  <si>
    <t>187,782.00</t>
  </si>
  <si>
    <t>• DLR CALIBRATION SUPPORT for S-IA Routine ops</t>
  </si>
  <si>
    <t>499,995.00</t>
  </si>
  <si>
    <t>Phase E Sentinel 1B</t>
  </si>
  <si>
    <t>998,553.00</t>
  </si>
  <si>
    <t>Preparations and operations of the off-line Processing and Archiving Centres for sentinel gatellites</t>
  </si>
  <si>
    <t>7,102,194.79</t>
  </si>
  <si>
    <t>DLR - German Aerospace Center</t>
  </si>
  <si>
    <t>Preparations and operations of the off-line Processing and Archiving Centres for sentinel isatellites</t>
  </si>
  <si>
    <t>6,295,149.20</t>
  </si>
  <si>
    <t>'SAR (Synthetic Aperture Radar) instruments on Sentinel satellites</t>
  </si>
  <si>
    <t>98,763.00</t>
  </si>
  <si>
    <t>1,269,933.00</t>
  </si>
  <si>
    <t>OMC INTERNATIONAL IMAGING LTD</t>
  </si>
  <si>
    <t>{Copernicus Space Component - Data Warehouse activities</t>
  </si>
  <si>
    <t>38,796.00</t>
  </si>
  <si>
    <t>OTB/ SRO</t>
  </si>
  <si>
    <t>383,760.00</t>
  </si>
  <si>
    <t>E2V SAS</t>
  </si>
  <si>
    <t>2,260,000.00</t>
  </si>
  <si>
    <t>EADS CASA ESPACIO S. L.</t>
  </si>
  <si>
    <t>1,729,059.00</t>
  </si>
  <si>
    <t>EADS CASA SPACIO S. L.</t>
  </si>
  <si>
    <t>Dentinel 2 Satellites C/D Units construction</t>
  </si>
  <si>
    <t>7,536,677.00</t>
  </si>
  <si>
    <t>EADS CASA SPACIO S.C.</t>
  </si>
  <si>
    <t>14,745,426.00</t>
  </si>
  <si>
    <t>EADS CASA SPACIO S.L.</t>
  </si>
  <si>
    <t>Sentinel 38 Phase E Activities</t>
  </si>
  <si>
    <t>121,000.00</t>
  </si>
  <si>
    <t>*GEOS</t>
  </si>
  <si>
    <t>17,636,944.00</t>
  </si>
  <si>
    <t>EMS TECHNOLOGIES CANADA LTD</t>
  </si>
  <si>
    <t>2,025,000.00</t>
  </si>
  <si>
    <t>EUMETSAT</t>
  </si>
  <si>
    <t>ISentinel 3 Ground Segment (Marine)</t>
  </si>
  <si>
    <t>4,872,536.00</t>
  </si>
  <si>
    <t>Launcher Insurance cover</t>
  </si>
  <si>
    <t>34,971,083.00</t>
  </si>
  <si>
    <t>EUROPEAN SPACE IMAGING GMBH</t>
  </si>
  <si>
    <t>29,268,855.00</t>
  </si>
  <si>
    <t>FINMECCANICASPA</t>
  </si>
  <si>
    <t>Sentinel 1 C/O STAR TRACKER</t>
  </si>
  <si>
    <t>3,282,000.00</t>
  </si>
  <si>
    <t>9,940,000.00</t>
  </si>
  <si>
    <t>FINMECCANICÅSPA</t>
  </si>
  <si>
    <t>{Sentinel 3 Satellite C/D Units Construction</t>
  </si>
  <si>
    <t>37,127,109.00</t>
  </si>
  <si>
    <t>:Sentinel 38 Phase E Activities</t>
  </si>
  <si>
    <t>193,600.00</t>
  </si>
  <si>
    <t>GAF AG</t>
  </si>
  <si>
    <t>15,32.5,315.00</t>
  </si>
  <si>
    <t>GEANT Limited</t>
  </si>
  <si>
    <t>Dissemination of Sentinel products to the R &amp; D Community- connection to GEANT network</t>
  </si>
  <si>
    <t>1,800,000.00</t>
  </si>
  <si>
    <t>GMV AEROSPACE AND DEFENCE, SA</t>
  </si>
  <si>
    <t>Precise Orbit Determination (POD) system for the Sentinel missions.</t>
  </si>
  <si>
    <t>5,704,748.00</t>
  </si>
  <si>
    <t>ISentinel 2 Satellites C/D Units construction</t>
  </si>
  <si>
    <t>180,000.00</t>
  </si>
  <si>
    <t>GENTINEL-I OPERATIONAL SIMULATOR DEVELOPMENT AND MAINTENANCE</t>
  </si>
  <si>
    <t>451,369.96</t>
  </si>
  <si>
    <t>{SENTINEL-2 OPERATIONALSIMULATOR DEVELOPMENT AND MAINTENANCE</t>
  </si>
  <si>
    <t>203,185.80</t>
  </si>
  <si>
    <t>•SENTINEL-3 OPERATIONALSIMULATOR DEVELOPMENT AND MAINTENANCE</t>
  </si>
  <si>
    <t>169,321.50</t>
  </si>
  <si>
    <t>SENTINEL-5P OPERATIONAL SIMULATOR DEVELOPMENT AND MAINTENANCE</t>
  </si>
  <si>
    <t>88,047.18</t>
  </si>
  <si>
    <t>GMVGmbH</t>
  </si>
  <si>
    <t>Provision of Operations Engineering Support - Sentinel 5P</t>
  </si>
  <si>
    <t>2,472,964.00</t>
  </si>
  <si>
    <t>Honeywell Aerospace DS</t>
  </si>
  <si>
    <t>1,824,074.00</t>
  </si>
  <si>
    <t>*TG- HYPERSCHALL TECHNOLOGIE GOETTINGEN</t>
  </si>
  <si>
    <t>62,000.00</t>
  </si>
  <si>
    <t>IA8G MBH</t>
  </si>
  <si>
    <t>1,450,000.00</t>
  </si>
  <si>
    <t>IABG MBH</t>
  </si>
  <si>
    <t>1,180,650.00</t>
  </si>
  <si>
    <t>IAL CENTRE SPATIAL DE LIEGE</t>
  </si>
  <si>
    <t>707,000.00</t>
  </si>
  <si>
    <t>AL CENTRE SPATIAL DE LIEGE</t>
  </si>
  <si>
    <t>1,246,500.00</t>
  </si>
  <si>
    <t>INDRA SISTEMAS</t>
  </si>
  <si>
    <t>6,802,283.00</t>
  </si>
  <si>
    <t>INTA</t>
  </si>
  <si>
    <t>Preparation and Operations of the Core X-Band Acquisition and near real-time facilities: INTA/CEC IGround Station</t>
  </si>
  <si>
    <t>15,108,889.00</t>
  </si>
  <si>
    <t>ISRAELAIRCRAFT INOUSTRES (Al) LT</t>
  </si>
  <si>
    <t>196,920.00</t>
  </si>
  <si>
    <t>JENA-OPTRONIKGMBH</t>
  </si>
  <si>
    <t>750,000.00</t>
  </si>
  <si>
    <t>17,077,780.00</t>
  </si>
  <si>
    <t>21,223,376.00</t>
  </si>
  <si>
    <t>ISentinel 68 Satellite Instrument Construction</t>
  </si>
  <si>
    <t>438,078.00</t>
  </si>
  <si>
    <t>KONGSBERG OEFENCE AND AEROSPACE AS</t>
  </si>
  <si>
    <t>4,345,000.00</t>
  </si>
  <si>
    <t>KONGSBERG NORSPACE A/s</t>
  </si>
  <si>
    <t>2,423,459.00</t>
  </si>
  <si>
    <t>KONGSBERG SATELLITE SERVICES AS</t>
  </si>
  <si>
    <t>1,327,200.00</t>
  </si>
  <si>
    <t>Preparation and Operations of the Core X-Band Acquisition and near real-time facilities: \SVALBÅRD Ground Station</t>
  </si>
  <si>
    <t>21,822,233.00</t>
  </si>
  <si>
    <t>KONGSBERG SPACETEC AS</t>
  </si>
  <si>
    <t>DEMODULATION ANO FRONT END PROCESSING (DFE?) FOR SENTINEL SATELLITES</t>
  </si>
  <si>
    <t>1,250,000.00</t>
  </si>
  <si>
    <t>LANCASTER SOFTWARE ENTWICKLUNGS GMB</t>
  </si>
  <si>
    <t>:Provision of Operations Engineering Support - Sentinel 1, 2 &amp; 5P</t>
  </si>
  <si>
    <t>12,264,045.00</t>
  </si>
  <si>
    <t>LATELEC</t>
  </si>
  <si>
    <t>:Sentinel 2 Satellites 0/0 Units construction</t>
  </si>
  <si>
    <t>464,654.00</t>
  </si>
  <si>
    <t>LUSOSPACE- PROJ DE ENGENHARIA</t>
  </si>
  <si>
    <t>257,766.00</t>
  </si>
  <si>
    <t>:.sentinel 3 Satellite C/D Units Construction</t>
  </si>
  <si>
    <t>260,791.00</t>
  </si>
  <si>
    <t>MOA SYSTEMS LTD</t>
  </si>
  <si>
    <t>21,278,836.00</t>
  </si>
  <si>
    <t>MOOG UK WESTCOTT LIMITED</t>
  </si>
  <si>
    <t>657,985.00</t>
  </si>
  <si>
    <t>MT AEROSPACE AG</t>
  </si>
  <si>
    <t>465,976.00</t>
  </si>
  <si>
    <t>NATUNAS.P.A.</t>
  </si>
  <si>
    <t>{ESRIN FACILITY MANAGEMENT HARD SERVICES</t>
  </si>
  <si>
    <t>54,046.69</t>
  </si>
  <si>
    <t>NORUT NORTHERN RESEARCH INSTITUTE AS</t>
  </si>
  <si>
    <t>{SAR (Synthetic Aperture Radar) instruments on Sentinel satellites</t>
  </si>
  <si>
    <t>100,000.00</t>
  </si>
  <si>
    <t>POLITECNICO DI MILANO</t>
  </si>
  <si>
    <t>:SÅR (Synthetic Aperture Radar) instruments on Sentinel satellites</t>
  </si>
  <si>
    <t>97,280.00</t>
  </si>
  <si>
    <t>RAFAEL LTD.</t>
  </si>
  <si>
    <t>:Sentinel 1 Satellites C/O Units construction</t>
  </si>
  <si>
    <t>1,366,000.00</t>
  </si>
  <si>
    <t>RHEA SYSTEM S.A.</t>
  </si>
  <si>
    <t>:POGS - ENGINEERING AND MANAGEMENT SUPPORT SERVICES (EMSS)</t>
  </si>
  <si>
    <t>8,050,282.00</t>
  </si>
  <si>
    <t>ROCKWELL COLLINS DEUTSCHLAND GMBH</t>
  </si>
  <si>
    <t>isentinel 1 Satellites C/D Units construction</t>
  </si>
  <si>
    <t>1,887,000.00</t>
  </si>
  <si>
    <t>1,998,542.00</t>
  </si>
  <si>
    <t>ROVSING A/s</t>
  </si>
  <si>
    <t>264,894.00</t>
  </si>
  <si>
    <t>RUAG SCHWEIZAG, RUAG SPACE</t>
  </si>
  <si>
    <t>:Sentinel 1 Satellites C/D Units construction</t>
  </si>
  <si>
    <t>5,350,000.00</t>
  </si>
  <si>
    <t>30,000.00</t>
  </si>
  <si>
    <t>RUAG SCHWEIZAG, RI-AG SPACE</t>
  </si>
  <si>
    <t>1,374,756.00</t>
  </si>
  <si>
    <t>5,970,305.00</t>
  </si>
  <si>
    <t>RIJAG SPACE AB</t>
  </si>
  <si>
    <t>ISentinel 1 Satellites C/D Units construction</t>
  </si>
  <si>
    <t>10,545,900.00</t>
  </si>
  <si>
    <t>RUAG SPACE AB</t>
  </si>
  <si>
    <t>5,510,119.00</t>
  </si>
  <si>
    <t>ISentinel 3 Satellite O/D Units Construction</t>
  </si>
  <si>
    <t>8,750,000.00</t>
  </si>
  <si>
    <t>:Sentinel 6B Satellite Instrument Construction</t>
  </si>
  <si>
    <t>377,200.00</t>
  </si>
  <si>
    <t>RIJAG SPACE FINLANO oy AB</t>
  </si>
  <si>
    <t>isentinel 2 Satellites C/D Units construction</t>
  </si>
  <si>
    <t>4,467,001.00</t>
  </si>
  <si>
    <t>RUAG SPACE FINLANO OY AB</t>
  </si>
  <si>
    <t>{Sentinel 6B Satellite Instrument Construction</t>
  </si>
  <si>
    <t>275,000.00</t>
  </si>
  <si>
    <t>WAG SPACE GMBH</t>
  </si>
  <si>
    <t>6,760,541.00</t>
  </si>
  <si>
    <t>RUAG SPACE GMBH</t>
  </si>
  <si>
    <t>3,794,000.00</t>
  </si>
  <si>
    <t>6,197,645.00</t>
  </si>
  <si>
    <t>906,750.00</t>
  </si>
  <si>
    <t>RYMSÅ ESPÅCIO, S.Å.U.</t>
  </si>
  <si>
    <t>ESentinel 1 Satellites C/D Units construction</t>
  </si>
  <si>
    <t>347,400.00</t>
  </si>
  <si>
    <t>RYMSÅ ESPÅCIO, S.A.U.</t>
  </si>
  <si>
    <t>ISentinel 3 Satellite C/D Units Construction</t>
  </si>
  <si>
    <t>202,650.00</t>
  </si>
  <si>
    <t>SCISYS LTD</t>
  </si>
  <si>
    <t>:.SENTlNEL-2 OPERATIONAL SIMULATOR DEVELOPMENT AND MAINTENANCE</t>
  </si>
  <si>
    <t>189,030.50</t>
  </si>
  <si>
    <t>ESENTlNEL-3 OPERATIONAL SIMULATOR DEVELOPMENT AND MAINTENANCE</t>
  </si>
  <si>
    <t>SENER INGENERA Y SISTEMAS SA</t>
  </si>
  <si>
    <t>4,175,000.00</t>
  </si>
  <si>
    <t>SO-NER INGENERA Y SISTEMAS SA</t>
  </si>
  <si>
    <t>1,718,584.00</t>
  </si>
  <si>
    <t>4,185,899.00</t>
  </si>
  <si>
    <t>SIEMENS CONVERGENCE CREATORS GMBH</t>
  </si>
  <si>
    <t>1,025,000.00</t>
  </si>
  <si>
    <t>SITAELS.P.A.</t>
  </si>
  <si>
    <t>650,000.00</t>
  </si>
  <si>
    <t>SODERN</t>
  </si>
  <si>
    <t>11,000,000.00</t>
  </si>
  <si>
    <t>SOFRADIR</t>
  </si>
  <si>
    <t>• Sentinel 2 Satellites C/D Units construction</t>
  </si>
  <si>
    <t>6,200,000.00</t>
  </si>
  <si>
    <t>Sort wave infra-red (SWIR) DETECTOR ACTIVITY</t>
  </si>
  <si>
    <t>957,662.00</t>
  </si>
  <si>
    <t>STFC RUTHERFORD APPLETON LABORATORY</t>
  </si>
  <si>
    <t>9,785,680.00</t>
  </si>
  <si>
    <t>SYDERALSA</t>
  </si>
  <si>
    <t>2,100,000.00</t>
  </si>
  <si>
    <t>TELESPAZIOS.P.A.</t>
  </si>
  <si>
    <t>iCopernicus Space Component - Data Warehouse activities</t>
  </si>
  <si>
    <t>11,670,501.00</t>
  </si>
  <si>
    <t>43,293,697.00</t>
  </si>
  <si>
    <t>{Sentinel 3 Payload Data Ground Segment (PDGS) system operations, maintenance and evolutions</t>
  </si>
  <si>
    <t>25,400.00</t>
  </si>
  <si>
    <t>TELESPAZIO VEGA DEUTSCHLAND GMBH</t>
  </si>
  <si>
    <t>Provision of Operations Engineering Support - Sentinel 1,2 &amp;5P</t>
  </si>
  <si>
    <t>8,389,519.00</t>
  </si>
  <si>
    <t>:Sentinel 3 Payload Data Ground Segment (PDGS) system operations, maintenance and evolutions</t>
  </si>
  <si>
    <t>204,311.00</t>
  </si>
  <si>
    <t>SAT-SPACECOM GMBH CO.KG</t>
  </si>
  <si>
    <t>34,.550,000.00</t>
  </si>
  <si>
    <t>TESAT-SPACECOM GMBH CO.KG</t>
  </si>
  <si>
    <t>(Sentinel 2 Satellites C/D Units construction</t>
  </si>
  <si>
    <t>34,140,000.00</t>
  </si>
  <si>
    <t>THALES ALENA SPACE BELGIUM</t>
  </si>
  <si>
    <t>7,487,000.00</t>
  </si>
  <si>
    <t>2,374,000.00</t>
  </si>
  <si>
    <t>6,177,000.00</t>
  </si>
  <si>
    <t>THALES ALE-NIA SPACE SPANA</t>
  </si>
  <si>
    <t>5,351,000.00</t>
  </si>
  <si>
    <t>THALES ALENA SPACE SPANA</t>
  </si>
  <si>
    <t>4,421'000.00</t>
  </si>
  <si>
    <t>THALES ALE-NIA SPACE ESPANA</t>
  </si>
  <si>
    <t>17,428,000.00</t>
  </si>
  <si>
    <t>THALES ALENA SPACE FRANCE</t>
  </si>
  <si>
    <t>• PDGS Enhancements - SAR</t>
  </si>
  <si>
    <t>311,699.00</t>
  </si>
  <si>
    <t>2,635,000.00</t>
  </si>
  <si>
    <t>3,384,449.00</t>
  </si>
  <si>
    <t>THALES ALENIA SPACE FRANCE</t>
  </si>
  <si>
    <t>:Sentinel 2 Satellites C/D Units construction</t>
  </si>
  <si>
    <t>206,494,364.00</t>
  </si>
  <si>
    <t>THALES ALE-NIA SPACE FRANCE</t>
  </si>
  <si>
    <t>Dentinel 3B Phase E Activities</t>
  </si>
  <si>
    <t>8,165,458.00</t>
  </si>
  <si>
    <t>THALES ALENA SPACE ITALIA SPA</t>
  </si>
  <si>
    <t>:Sentinel 18 Phase E Activities</t>
  </si>
  <si>
    <t>4,665,917.00</t>
  </si>
  <si>
    <t>166,834,268.00</t>
  </si>
  <si>
    <t>652,000.00</t>
  </si>
  <si>
    <t>HALES ALENA SPACE ITALIA SPA</t>
  </si>
  <si>
    <t>• Sentinel 3 Satellite C/D Units Construction</t>
  </si>
  <si>
    <t>45,22.5,021.00</t>
  </si>
  <si>
    <t>THALES SERVICES S.A.S</t>
  </si>
  <si>
    <t>{Sentinel 2 Payload Data Ground Segment (PDGS) system operations, maintenance and evolutions</t>
  </si>
  <si>
    <t>856,269.00</t>
  </si>
  <si>
    <t>THALES SYSTEMS AEROPORTES</t>
  </si>
  <si>
    <t>7,920,000.00</t>
  </si>
  <si>
    <t>TNO INDUSTRIAL RESEARCH</t>
  </si>
  <si>
    <t>2,220,000.00</t>
  </si>
  <si>
    <t>T-SYSTEMS ENTERPRISE SERVICES GMBH</t>
  </si>
  <si>
    <t>DATA CIRCULATION &amp; DISSEMINATION FOR THE WIDE AREA NETWORK (WAN) AND SECURITY {SERVICES FOR THE COPERNICUS SENTINELS SATELLITES</t>
  </si>
  <si>
    <t>5,468,291.00</t>
  </si>
  <si>
    <t>UNIVERSITY' OF ZURICH</t>
  </si>
  <si>
    <t>:SAR (Synthetic Aperture Radar) instruments on Sentinel satellites</t>
  </si>
  <si>
    <t>109,977.00</t>
  </si>
  <si>
    <t>VITO VL.INST.TECHN.ONDERZOEK</t>
  </si>
  <si>
    <t>icopernicus Space Component - Data Warehouse activities</t>
  </si>
  <si>
    <t>2,461,095.00</t>
  </si>
  <si>
    <t>WE-RUM SOFTWARE SYSTEMS AG</t>
  </si>
  <si>
    <t>•Sentinel 3 Payload Data Ground Segment (PDGS) system operations, maintenance and evolutions</t>
  </si>
  <si>
    <t>15,205.00</t>
  </si>
  <si>
    <t>ZARF/ TECHNIK AG</t>
  </si>
  <si>
    <t>406,635.00</t>
  </si>
  <si>
    <t>Contract value on
Copernicus 2016</t>
  </si>
  <si>
    <t>SENTINEL-6A/B-BATTERY</t>
  </si>
  <si>
    <t>512,500.00</t>
  </si>
  <si>
    <t>MISSION PERFORMANCE CENTERS (MPC) FOR SENTINELS. MPCs are responsible for calibration, validation, quality
control and end-to-end system performance assessment. The MPCs include expert teams for specific cal/val, off-line
quality control and algorithm correction activities.</t>
  </si>
  <si>
    <t>2,000,000.00</t>
  </si>
  <si>
    <t>Advanced Computer Systems A.C.S. S.r.l.</t>
  </si>
  <si>
    <t>SENTINEL-3 GEOMETRIC CALIBRATION TOOL FOR IN ORBIT PERFORMANCES VERIFICATION</t>
  </si>
  <si>
    <t>69,437.00</t>
  </si>
  <si>
    <t>SENTINEL-3 C/D UNITS - OME IR DETECTOR</t>
  </si>
  <si>
    <t>70,000.00</t>
  </si>
  <si>
    <t>AIRBUS DEFENCE &amp; SPACE NETHERLANDS</t>
  </si>
  <si>
    <t>SENTINEL-5 PHASE B2, C/D, E1. SD: ADS-NL. 1.00.3: DATA PROCESSING ENGINEERING.</t>
  </si>
  <si>
    <t>1,095,731.00</t>
  </si>
  <si>
    <t>SENTINEL-6A/B-MPPS</t>
  </si>
  <si>
    <t>2,587,500.00</t>
  </si>
  <si>
    <t>SENTINEL-2 C/D UNITS - MSI SYSTEM SUPPORT</t>
  </si>
  <si>
    <t>331,250.00</t>
  </si>
  <si>
    <t>SENTINEL-5 PHASE B2, C/D, E1. SD: ADS-F. 1.00.2: FOCAL PLANE SUBSYSTEM (FPS).</t>
  </si>
  <si>
    <t>4,937,955.00</t>
  </si>
  <si>
    <t>SENTINEL-6A/B-RMU</t>
  </si>
  <si>
    <t>846,300.00</t>
  </si>
  <si>
    <t>AIRBUS DEFENCE AND SPACE, S.A.U</t>
  </si>
  <si>
    <t>SENTINEL-3 C/D UNITS - MWR</t>
  </si>
  <si>
    <t>25,000.00</t>
  </si>
  <si>
    <t>SENTINEL-6A/B-HARNESS</t>
  </si>
  <si>
    <t>950,008.00</t>
  </si>
  <si>
    <t>SENTINEL-6A/B-STR</t>
  </si>
  <si>
    <t>1,621,815.00</t>
  </si>
  <si>
    <t>Airbus DS GmbH Sat</t>
  </si>
  <si>
    <t>Sentinel-1 Satellites C/D Units Construction</t>
  </si>
  <si>
    <t>116,666.00</t>
  </si>
  <si>
    <t>SENTINEL-2 IN-ORBIT OPERATIONS MAINTENANCE SUPPORT</t>
  </si>
  <si>
    <t>8,977,722.00</t>
  </si>
  <si>
    <t>Sentinel-2 Satellites C/D Units construction</t>
  </si>
  <si>
    <t>1,075,596.00</t>
  </si>
  <si>
    <t>Sentinel-2A Phase E Activities</t>
  </si>
  <si>
    <t>333,000.00</t>
  </si>
  <si>
    <t>Sentinel-5 Satellite Instrument Construction</t>
  </si>
  <si>
    <t>43,313,225.00</t>
  </si>
  <si>
    <t>Sentinel-6B Satellite Instrument Construction</t>
  </si>
  <si>
    <t>63,597,986.00</t>
  </si>
  <si>
    <t>AIRBUS DS LTD EX INFOTERRA LTD</t>
  </si>
  <si>
    <t>Sentinel-2 Preparations and operations of the off-line Processing and Archiving Centres</t>
  </si>
  <si>
    <t>54,739.06</t>
  </si>
  <si>
    <t>SENTINEL-6A/B-DORIS DIODE</t>
  </si>
  <si>
    <t>45,240.00</t>
  </si>
  <si>
    <t>ALMATECH SA</t>
  </si>
  <si>
    <t>SENTINEL-5 IOMSR ACTIVITY</t>
  </si>
  <si>
    <t>1,124,940.00</t>
  </si>
  <si>
    <t>SENTINEL-6A/B-MGSE.</t>
  </si>
  <si>
    <t>269,389.00</t>
  </si>
  <si>
    <t>SENTINEL-2B LAUNCHER PROCUREMENT</t>
  </si>
  <si>
    <t>21,766,000.00</t>
  </si>
  <si>
    <t>AURORA TECHNOLOGY BV</t>
  </si>
  <si>
    <t>MANPOWER SUPPORT SERVICE - SENTINEL-3</t>
  </si>
  <si>
    <t>93,350.00</t>
  </si>
  <si>
    <t>BELG INST SPACE AERONOMY</t>
  </si>
  <si>
    <t>SUPPORT TO THE CABAUW INTERCOMPARISON CAMPAIGN FOR NITROGEN DIOXIDE MEASURING INSTRUMENTS
2016 (CINDI-2)</t>
  </si>
  <si>
    <t>BLU ELECTRONIC SRL</t>
  </si>
  <si>
    <t>20,000.00</t>
  </si>
  <si>
    <t>BROCKMANN CONSULT GMBH</t>
  </si>
  <si>
    <t>SENTINEL-2 ATMOSPHERIC CORRECTION ALGORITHM SETUP AND VALIDATION</t>
  </si>
  <si>
    <t>CAPGEMINI TECHNOLOGY SERVICES</t>
  </si>
  <si>
    <t>DEMONSTRATION OF SENTINEL-2 CAPABILITIES FOR COASTAL WATERS APPLICATIONS</t>
  </si>
  <si>
    <t>50,000.00</t>
  </si>
  <si>
    <t>C-CORE CENTRE COLD OCEAN RES.</t>
  </si>
  <si>
    <t>Sentinel-1B: TRANSPONDER MAINTENANCE TO S1B COMMISSIONING</t>
  </si>
  <si>
    <t>90,000.00</t>
  </si>
  <si>
    <t>CELESTIA SATELLITES TEST AND SIMULA</t>
  </si>
  <si>
    <t>SENTINEL-6A/B-EGSE TMTC FE</t>
  </si>
  <si>
    <t>49,638.00</t>
  </si>
  <si>
    <t>CLS COLLECTE LOCALISATION SATELLITES</t>
  </si>
  <si>
    <t>SENTINEL-3 C/D UNITS - SYNTHETIC APERTURE RADAR (SAR) LEVEL 1B STUDY</t>
  </si>
  <si>
    <t>399,842.00</t>
  </si>
  <si>
    <t>CNES CST</t>
  </si>
  <si>
    <t>SENTINEL-2 LEVEL 2 A ALGORITHM SELECTION</t>
  </si>
  <si>
    <t>1,943,793.00</t>
  </si>
  <si>
    <t>SENTINEL-3 ROUTINE OPERATIONAL PHASE SUPPORT (S-3 CROPS)</t>
  </si>
  <si>
    <t>1,534,760.00</t>
  </si>
  <si>
    <t>CRISA SACOMPUTADORAS REDES E INGENIERIA</t>
  </si>
  <si>
    <t>SENTINEL-5 ICS ACTIVITY</t>
  </si>
  <si>
    <t>5,225,620.00</t>
  </si>
  <si>
    <t>SENTINEL-5 UVN FEE ACTIVITY</t>
  </si>
  <si>
    <t>1,971,284.00</t>
  </si>
  <si>
    <t>SENTINEL-6A/B-PCDU</t>
  </si>
  <si>
    <t>1,627,133.00</t>
  </si>
  <si>
    <t>PREPARATION AND OPERATIONS OF THE MISSION PERFORMANCE CENTRE (MPC) FOR SENTINEL-2 MISSION</t>
  </si>
  <si>
    <t>200,000.00</t>
  </si>
  <si>
    <t>DLR - GERMAN AEROSPACE CENTER</t>
  </si>
  <si>
    <t>Sentinel-3 Preparations and operations of the off-line Processing and Archiving Centres</t>
  </si>
  <si>
    <t>109,257.18</t>
  </si>
  <si>
    <t>DTM SRL</t>
  </si>
  <si>
    <t>SENTINEL-5 MGSE ACTIVITY</t>
  </si>
  <si>
    <t>396,462.00</t>
  </si>
  <si>
    <t>E2V TECHNOLOGIES LIMITED</t>
  </si>
  <si>
    <t>SENTINEL-5 UVN CCD ACTIVITY</t>
  </si>
  <si>
    <t>E-GEOS</t>
  </si>
  <si>
    <t>HYPERSPECTRAL IMAGING MISSION CONCEPTS</t>
  </si>
  <si>
    <t>399,000.00</t>
  </si>
  <si>
    <t>EJR QUARTZ B.V</t>
  </si>
  <si>
    <t>SENTINEL USER HANDBOOK TECHNICAL EDITORIAL SERVICE</t>
  </si>
  <si>
    <t>62,430.00</t>
  </si>
  <si>
    <t>EOX IT SERVICES GMBH</t>
  </si>
  <si>
    <t>PROVISION OF BACKGROUND AND OVERLAY MAPS</t>
  </si>
  <si>
    <t>58,060.00</t>
  </si>
  <si>
    <t>EXELIS VISUAL INFOR</t>
  </si>
  <si>
    <t>SENTINEL-3 MISSION-SOFT PRODUCTS &amp; SERVICES SUPPORT</t>
  </si>
  <si>
    <t>23,235.00</t>
  </si>
  <si>
    <t>SENTINEL-2 ATMOSPHERIC CORRECTION ALGORITHM ASSESSMENT</t>
  </si>
  <si>
    <t>SENTINEL-5P OPERATIONS ENGINEERING SUPPORT</t>
  </si>
  <si>
    <t>75,122.01</t>
  </si>
  <si>
    <t>HELMHOLTZ-ZENTRUM POTSDAM - DEUTSCH</t>
  </si>
  <si>
    <t>JENA-OPTRONIK GMBH</t>
  </si>
  <si>
    <t>SENTINEL-2 C/D UNITS - STAR TRACKER</t>
  </si>
  <si>
    <t>178,497.00</t>
  </si>
  <si>
    <t>SENTINEL-5 NIR SO ACTIVITY</t>
  </si>
  <si>
    <t>2,426,851.00</t>
  </si>
  <si>
    <t>SENTINEL-6A/B-STAR TRACKER</t>
  </si>
  <si>
    <t>701,691.00</t>
  </si>
  <si>
    <t>SENTINEL-5P X-BAND SERVICE FOR ROUTINE OPERATIONS</t>
  </si>
  <si>
    <t>23,902,814.00</t>
  </si>
  <si>
    <t>DEMODULATION AND FRONT END PROCESSING (DFEP) FOR SENTINEL SATELLITES</t>
  </si>
  <si>
    <t>450,000.00</t>
  </si>
  <si>
    <t>1,700,000.00</t>
  </si>
  <si>
    <t>Leonardo S.p.a.</t>
  </si>
  <si>
    <t>SENTINEL-3 C/D UNITS SLSTR</t>
  </si>
  <si>
    <t>57,027.00</t>
  </si>
  <si>
    <t>SENTINEL-5 SWIR SS ACTIVITY</t>
  </si>
  <si>
    <t>7,104,172.00</t>
  </si>
  <si>
    <t>SENTINEL-6A/B-SAW</t>
  </si>
  <si>
    <t>1,957,680.00</t>
  </si>
  <si>
    <t>LSE Space GMBH</t>
  </si>
  <si>
    <t>SENTINEL-1 OPERATIONS ENGINEERING SUPPORT</t>
  </si>
  <si>
    <t>328,657.04</t>
  </si>
  <si>
    <t>SENTINEL-2 OPERATIONS ENGINEERING SUPPORT</t>
  </si>
  <si>
    <t>614,674.20</t>
  </si>
  <si>
    <t>507,491.77</t>
  </si>
  <si>
    <t>MICOS ENGINEERING GMBH</t>
  </si>
  <si>
    <t>SENTINEL-5 CAS ACTIVITY</t>
  </si>
  <si>
    <t>2,044,672.00</t>
  </si>
  <si>
    <t>NERC - PLYMOUTH MARINE LAB.</t>
  </si>
  <si>
    <t>SENTINEL-3 ATLANTIC MERIDIONAL TRANSECT (AMT) FIDUCIAL REFERENCE MEASUREMENTS (FRM) CAMPAIGN
(AMT4SENTINELFRM) - PHASE 1</t>
  </si>
  <si>
    <t>299,999.00</t>
  </si>
  <si>
    <t>NOVELTIS SAS</t>
  </si>
  <si>
    <t>SENTINEL-3 C/D UNITS - OPEN LOOP TRACKING COMMANDS (OLTC)</t>
  </si>
  <si>
    <t>150,000.00</t>
  </si>
  <si>
    <t>OHB SYSTEM AG</t>
  </si>
  <si>
    <t>400,000.00</t>
  </si>
  <si>
    <t>RAKON FRANCE SAS</t>
  </si>
  <si>
    <t>SENTINEL-3 ULTRA STABLE OSCILLATOR INTEGRATION</t>
  </si>
  <si>
    <t>745,000.00</t>
  </si>
  <si>
    <t>RHEA SYSTEM B.V.</t>
  </si>
  <si>
    <t>SENTINEL-1 - MANPOWER SUPPORT SERVICE</t>
  </si>
  <si>
    <t>32,496.00</t>
  </si>
  <si>
    <t>PAYLOAD DATA GROUND SEGMENT (PDGS) - ENGINEERING AND MANAGEMENT SUPPORT SERVICES</t>
  </si>
  <si>
    <t>813,624.22</t>
  </si>
  <si>
    <t>SENTINEL-6A/B-REACTION WHEELS</t>
  </si>
  <si>
    <t>836,400.00</t>
  </si>
  <si>
    <t>423,000.00</t>
  </si>
  <si>
    <t>SENTINEL-6A/B-(SE)-SBA</t>
  </si>
  <si>
    <t>75,000.00</t>
  </si>
  <si>
    <t>SENTINEL-6A/B-OBC</t>
  </si>
  <si>
    <t>1,508,800.00</t>
  </si>
  <si>
    <t>SENTINEL-6A/B-PODRIX RECEIVER</t>
  </si>
  <si>
    <t>135,000.00</t>
  </si>
  <si>
    <t>SENTINEL-6A/B-XBA</t>
  </si>
  <si>
    <t>80,000.00</t>
  </si>
  <si>
    <t>RUAG SPACE FINLAND OY AB</t>
  </si>
  <si>
    <t>SENTINEL-6A/B-RIU</t>
  </si>
  <si>
    <t>1,445,379.00</t>
  </si>
  <si>
    <t>SENTINEL-5 IOMT ACTIVITY</t>
  </si>
  <si>
    <t>755,177.00</t>
  </si>
  <si>
    <t>558,250.00</t>
  </si>
  <si>
    <t>SENTINEL-6A/B-THERMAL PASSIVE</t>
  </si>
  <si>
    <t>362,936.00</t>
  </si>
  <si>
    <t>SERCO SPA</t>
  </si>
  <si>
    <t>SENTINELS ROLLING ARCHIVE PRODUCTS USER ACCESS, OPERATIONS, MAINTENANCE AND EVOLUTIONS</t>
  </si>
  <si>
    <t>12,500,000.00</t>
  </si>
  <si>
    <t>445,000.00</t>
  </si>
  <si>
    <t>SENTINEL-5 EGSE ACTIVITY</t>
  </si>
  <si>
    <t>229,845.00</t>
  </si>
  <si>
    <t>SENTINEL-6A/B-EGSE POWER SCOE</t>
  </si>
  <si>
    <t>464,685.00</t>
  </si>
  <si>
    <t>SIEMENS CONVERGENCE CREATORS SRL</t>
  </si>
  <si>
    <t>SENTINEL-6A/B-EGSE S-BAND SCOE</t>
  </si>
  <si>
    <t>SENTINEL-5 UV2VIS ACTIVITY</t>
  </si>
  <si>
    <t>5,170,000.00</t>
  </si>
  <si>
    <t>SENTINEL-5 SWIR DETECTOR ACTIVITY</t>
  </si>
  <si>
    <t>3,080,048.00</t>
  </si>
  <si>
    <t>SPACE SYSTEMS FINLAND LTD</t>
  </si>
  <si>
    <t>SENTINEL-5 L1BPP ACTIVITY</t>
  </si>
  <si>
    <t>57,579.00</t>
  </si>
  <si>
    <t>SPACETECH GMBH</t>
  </si>
  <si>
    <t>SENTINEL-6A/B-CESS</t>
  </si>
  <si>
    <t>266,660.00</t>
  </si>
  <si>
    <t>1,834,730.00</t>
  </si>
  <si>
    <t>SENTINEL-5 CTF ACTIVITY</t>
  </si>
  <si>
    <t>4,004,015.00</t>
  </si>
  <si>
    <t>SYDERAL SA</t>
  </si>
  <si>
    <t>69,040.00</t>
  </si>
  <si>
    <t>Telespazio VEGA Deutschland GmbH</t>
  </si>
  <si>
    <t>325,408.50</t>
  </si>
  <si>
    <t>TESAT-SPACECOM GMBH &amp; CO.KG</t>
  </si>
  <si>
    <t>SENTINEL-6A/B-XBDA</t>
  </si>
  <si>
    <t>1,650,765.00</t>
  </si>
  <si>
    <t>THALES ALENIA SPACE ESPANA</t>
  </si>
  <si>
    <t>1,850,000.00</t>
  </si>
  <si>
    <t>SENTINEL-5 DSE ACTIVITY</t>
  </si>
  <si>
    <t>1,733,000.00</t>
  </si>
  <si>
    <t>SENTINEL-6A/B-SBT</t>
  </si>
  <si>
    <t>796,000.00</t>
  </si>
  <si>
    <t>Sentinel-2 Payload Data Ground Segment (PDGS) system operations, maintenance and evolutions</t>
  </si>
  <si>
    <t>3,063,243.00</t>
  </si>
  <si>
    <t>SENTINEL-3 IN-ORBIT OPERATIONS MAINTENANCE SUPPORT</t>
  </si>
  <si>
    <t>16,647,213.00</t>
  </si>
  <si>
    <t>Sentinel-3 Satellite C/D Units Construction</t>
  </si>
  <si>
    <t>1,375,000.00</t>
  </si>
  <si>
    <t>THALES ALENIA SPACE ITALIA SPA</t>
  </si>
  <si>
    <t>SENTINEL-1 - IN-ORBIT OPERATIONS MAINTENANCE SUPPORT</t>
  </si>
  <si>
    <t>10,382,524.00</t>
  </si>
  <si>
    <t>3,675,000.00</t>
  </si>
  <si>
    <t>Sentinel-1B Phase E</t>
  </si>
  <si>
    <t>522,801.00</t>
  </si>
  <si>
    <t>SENTINEL-3 C/D UNITS - PLATFORM AND SYSTEM ACTIVITIES</t>
  </si>
  <si>
    <t>SENTINEL-6A/B-MMFU</t>
  </si>
  <si>
    <t>1,976,000.00</t>
  </si>
  <si>
    <t>SENTINEL-5 UV1 ACTIVITY</t>
  </si>
  <si>
    <t>5,696,590.00</t>
  </si>
  <si>
    <t>SENTINEL-5 PHASE B2, C/D, E1. SD: TNO. 1.00.4: CALIBRATION ENGINEERING.</t>
  </si>
  <si>
    <t>2,149,546.00</t>
  </si>
  <si>
    <t>SENTINEL-5 TSBOA ACTIVITY</t>
  </si>
  <si>
    <t>5,804,882.00</t>
  </si>
  <si>
    <t>DATA CIRCULATION DISSEMINATION NETWORK AND SECURITY FOR SENTINEL 1</t>
  </si>
  <si>
    <t>1,939,487.09</t>
  </si>
  <si>
    <t>DATA CIRCULATION DISSEMINATION NETWORK AND SECURITY FOR SENTINEL 2</t>
  </si>
  <si>
    <t>1,164,894.37</t>
  </si>
  <si>
    <t>DATA CIRCULATION DISSEMINATION NETWORK AND SECURITY FOR SENTINEL 3</t>
  </si>
  <si>
    <t>779,690.26</t>
  </si>
  <si>
    <t>UCL CONSULTANTS LTD</t>
  </si>
  <si>
    <t>SENTINEL-2 LEVEL 2A STUDY - PRODUCT ASSESSMENT</t>
  </si>
  <si>
    <t>24,980.00</t>
  </si>
  <si>
    <t>UNIVERSITE CATHOLIQUE DE LOUVAIN</t>
  </si>
  <si>
    <t>SENTINEL-2 LEVEL 2A STUDY - PRODUCT ASSESSMENT (UNIVERSITÉ CATHOLIQUE DE LOUVAIN)</t>
  </si>
  <si>
    <t>VISIOTERRA</t>
  </si>
  <si>
    <t>SENTINEL VISION SERVICE</t>
  </si>
  <si>
    <t>230,000.00</t>
  </si>
  <si>
    <t>Data Warehouse activities - data requirements</t>
  </si>
  <si>
    <t>111,254.00</t>
  </si>
  <si>
    <t>VTT TECHNICAL RESEARCH CENTRE OF FILTD</t>
  </si>
  <si>
    <t>ZARM TECHNIK AG</t>
  </si>
  <si>
    <t>SENTINEL-6A/B-MAG/MTQ</t>
  </si>
  <si>
    <t>181,606.00</t>
  </si>
  <si>
    <t>Contract value
on Copernicus
2017 (EUR)</t>
  </si>
  <si>
    <t>SENTINEL-3 - PREPARATION AND OPERATIONS OF THE MISSION
PERFORMANCE CENTRE (MPC)</t>
  </si>
  <si>
    <t>559,007</t>
  </si>
  <si>
    <t>Sentinel-3 OLCI In-flight Performance Analysis</t>
  </si>
  <si>
    <t>262,284</t>
  </si>
  <si>
    <t>Sentinel-2 Payload Data Ground Segment (PDGS) system operations,
maintenance and evolutions</t>
  </si>
  <si>
    <t>1,144,723</t>
  </si>
  <si>
    <t>AIRBUS DEFENCE &amp; SPACE
NETHERLANDS(FORMER DUTCH SPACE)</t>
  </si>
  <si>
    <t>168,474</t>
  </si>
  <si>
    <t>HOSTING, OPERATION, MAINTENANCE, EVOLUTION AND
CONTENTMANAGEMENT OF AGENCYS COPERNICUS SENTINELS
WORLD WIDEWEB SITES</t>
  </si>
  <si>
    <t>500,000</t>
  </si>
  <si>
    <t>117,293</t>
  </si>
  <si>
    <t>COPERNICUS DATA AND INFORMATION ACCESS SERVICES
OPERATIONS</t>
  </si>
  <si>
    <t>15,918,899</t>
  </si>
  <si>
    <t>50,000</t>
  </si>
  <si>
    <t>17,108</t>
  </si>
  <si>
    <t>AIRBUS DS GEO SA</t>
  </si>
  <si>
    <t>COPERNICUS SPACE COMPONENT DATA ACCESS (CSC DA) DATA
WAREHOUSE</t>
  </si>
  <si>
    <t>7,000,000</t>
  </si>
  <si>
    <t>294,372</t>
  </si>
  <si>
    <t>53,600</t>
  </si>
  <si>
    <t>SENTINEL-3 C/D UNITS - SLSTR EGSE</t>
  </si>
  <si>
    <t>27,357</t>
  </si>
  <si>
    <t>548,556</t>
  </si>
  <si>
    <t>AIRBUS DS LTD EX INFOTERRA LTD EX
ASTRIUM LTD</t>
  </si>
  <si>
    <t>Preparations and operations of the off-line Processing and Archiving Centres</t>
  </si>
  <si>
    <t>2,068,082</t>
  </si>
  <si>
    <t>1,251,046</t>
  </si>
  <si>
    <t>ARESYS SRL</t>
  </si>
  <si>
    <t>127,790</t>
  </si>
  <si>
    <t>ASTRIUM GMBH - BUSINESS UNIT SERVIC</t>
  </si>
  <si>
    <t>DATA RELAY SERVICES FOR COPERNICUS SENTINELS</t>
  </si>
  <si>
    <t>286,279</t>
  </si>
  <si>
    <t>ATOS CONVERGENCE CREATORS GMBH</t>
  </si>
  <si>
    <t>15,400</t>
  </si>
  <si>
    <t>ATOS INTEGRATION</t>
  </si>
  <si>
    <t>15,852,471</t>
  </si>
  <si>
    <t>Sentinel-3 OLCI Spectral Campaign</t>
  </si>
  <si>
    <t>45,000</t>
  </si>
  <si>
    <t>SENTINEL-2 DEMONSTRATION OF CAPABILITIES FOR COASTAL
WATERS APPLICATIONS</t>
  </si>
  <si>
    <t>C-CORE CENTRE COLD OCEAN RES</t>
  </si>
  <si>
    <t>SENTINEL 1 TRANSPONDER STORAGE</t>
  </si>
  <si>
    <t>160,506</t>
  </si>
  <si>
    <t>CELESTIA SATELLITE TEST AND
SIMULATION</t>
  </si>
  <si>
    <t>260,063</t>
  </si>
  <si>
    <t>Cooperation Agreement for the implementation of Sentinel Missions</t>
  </si>
  <si>
    <t>1,920,000</t>
  </si>
  <si>
    <t>SENTINEL-2 CNES ROUTINE OPERATIONAL PHASE SUPPORT</t>
  </si>
  <si>
    <t>1,668,200</t>
  </si>
  <si>
    <t>Sentinel-1C/D AIS Receiver</t>
  </si>
  <si>
    <t>3,840,000</t>
  </si>
  <si>
    <t>CREOTECH INSTRUMENTS SA</t>
  </si>
  <si>
    <t>14,020,600</t>
  </si>
  <si>
    <t>CRISA SA COMPUTADORAS REDES E
INGENIERIA</t>
  </si>
  <si>
    <t>67,210</t>
  </si>
  <si>
    <t>48,039</t>
  </si>
  <si>
    <t>24,080</t>
  </si>
  <si>
    <t>Research and User Support (RUS) for Sentinel Core Products</t>
  </si>
  <si>
    <t>9,281,385</t>
  </si>
  <si>
    <t>614,238</t>
  </si>
  <si>
    <t>DEIMOS SPACE S.L.U</t>
  </si>
  <si>
    <t>421,868</t>
  </si>
  <si>
    <t>Preparations and operations of the off-line Processing and Archiving Centres
for sentinel satellites</t>
  </si>
  <si>
    <t>712,319</t>
  </si>
  <si>
    <t>Sentinel-5P Payload Data Ground Segment (PDGS) system operations,
maintenance and evolutions</t>
  </si>
  <si>
    <t>19,000,000</t>
  </si>
  <si>
    <t>SUPPORT FOR SENTINEL-1 CONSTELLATION CALIBRATION</t>
  </si>
  <si>
    <t>449,941</t>
  </si>
  <si>
    <t>EARSC - EUROPEAN ASSOC REMOTE SENSI</t>
  </si>
  <si>
    <t>SHOWCASING THE BENEFITS BROUGHT BY THE USAGE OF SENTINELS
DATA TO SOCIETY, ENVIRONMENT AND ECONOMY</t>
  </si>
  <si>
    <t>999,466</t>
  </si>
  <si>
    <t>94,484</t>
  </si>
  <si>
    <t>8,500,000</t>
  </si>
  <si>
    <t>GISAT S.R.O.GEOINFORMATION SERVICE</t>
  </si>
  <si>
    <t>USE OF THE SUITABILITY COVERAGE ENGINE (SUCE) TOOL IN
SUPPORT TO THE COMPLETION OF THE OPTICAL HIGH-RESOLUTION
COVERAGE OF EEA-39 (HR_IMAGE_2015)</t>
  </si>
  <si>
    <t>148,536</t>
  </si>
  <si>
    <t>SENTINEL 1, 2, 3 PRECISE ORBIT DETERMINATION SERVICE</t>
  </si>
  <si>
    <t>53,091</t>
  </si>
  <si>
    <t>SENTINEL-5P OPERATIONAL SIMULATOR MAINTENANCE</t>
  </si>
  <si>
    <t>249,799</t>
  </si>
  <si>
    <t>GMV Insyen AG</t>
  </si>
  <si>
    <t>SENTINEL-3 OPERATIONS ENGINEERING SUPPORT</t>
  </si>
  <si>
    <t>374,435</t>
  </si>
  <si>
    <t>66,939</t>
  </si>
  <si>
    <t>HISDESAT SERVICIOS ESTRATÉGICOS S.A</t>
  </si>
  <si>
    <t>2,000,000</t>
  </si>
  <si>
    <t>SENTINEL-5 ITF ACTIVITY</t>
  </si>
  <si>
    <t>624,860</t>
  </si>
  <si>
    <t>48,992</t>
  </si>
  <si>
    <t>KING'S COLLEGE LONDON</t>
  </si>
  <si>
    <t>TECHNICAL ASSISTANCE TO THE EVALUATION AND VALIDATION OF
SENTINEL-3 ACTIVE FIRE DETECTION AND FRP PRODUCTS DURING
THE FIRE DETECTION EXPERIMENT (FIDEX)</t>
  </si>
  <si>
    <t>298,918</t>
  </si>
  <si>
    <t>PREPARATION AND OPERATION OF THE CORE X-BAND ACQUISITION
AND NEAR REAL-TIME FACILITIES AT THE SVALBARD GROUND
STATION</t>
  </si>
  <si>
    <t>352,893</t>
  </si>
  <si>
    <t>Sentinel-5 Instrument Harness (IHAR)</t>
  </si>
  <si>
    <t>508,128</t>
  </si>
  <si>
    <t>20,521</t>
  </si>
  <si>
    <t>41,740</t>
  </si>
  <si>
    <t>197,148</t>
  </si>
  <si>
    <t>567,501</t>
  </si>
  <si>
    <t>1,778,293</t>
  </si>
  <si>
    <t>30,982</t>
  </si>
  <si>
    <t>SENTINEL-3 ATLANTIC MERIDIONAL TRANSECT (AMT) FIDUCIAL
REFERENCE MEASUREMENTS (FRM) CAMPAIGN (AMT4SENTINELFRM) -PHASE 1</t>
  </si>
  <si>
    <t>148,471</t>
  </si>
  <si>
    <t>NEREUS</t>
  </si>
  <si>
    <t>ESA/EC PUBLICATION</t>
  </si>
  <si>
    <t>213,654</t>
  </si>
  <si>
    <t>64,481</t>
  </si>
  <si>
    <t>PAYLOAD DATA GROUND SEGMENT (PDGS) - ENGINEERING AND
MANAGEMENT SUPPORT SERVICES</t>
  </si>
  <si>
    <t>6,369,495</t>
  </si>
  <si>
    <t>RUAG SCHWEIZ AG, RUAG SPACE</t>
  </si>
  <si>
    <t>58,900</t>
  </si>
  <si>
    <t>SERCO Italia SpA</t>
  </si>
  <si>
    <t>15,121,185</t>
  </si>
  <si>
    <t>SENTINELS ROLLING ARCHIVE PRODUCTS USER ACCESS,
OPERATIONS, MAINTENANCE AND EVOLUTIONS</t>
  </si>
  <si>
    <t>4,391,069</t>
  </si>
  <si>
    <t>SOLENIX DEUTSCHLAND GMBH</t>
  </si>
  <si>
    <t>MAINTENANCE AND EVOLUTION OF THE COPERNICUS APPS FOR
MOBILE DEVICES</t>
  </si>
  <si>
    <t>Sorbonne Université, SU</t>
  </si>
  <si>
    <t>Sentinel 2 &amp; 3 Fiducial References: Measurement for Ocean Colour: Boussole</t>
  </si>
  <si>
    <t>SPACE GEOMATICA P.C.</t>
  </si>
  <si>
    <t>SENTINEL-3 RADAR ALTIMETER CALIBRATION - OPERATIONAL
SUPPORT</t>
  </si>
  <si>
    <t>899,994</t>
  </si>
  <si>
    <t>STFC RUTHERFORD APPLETON
LABORATORY</t>
  </si>
  <si>
    <t>Sentinel-3 SLSTR In-flight Performance Analysis</t>
  </si>
  <si>
    <t>385,190</t>
  </si>
  <si>
    <t>Teledyne e2v (UK) Limited</t>
  </si>
  <si>
    <t>17,842</t>
  </si>
  <si>
    <t>TELESPAZIO S.P.A.</t>
  </si>
  <si>
    <t>Evolutions, Operations and Maintenance of Copernicus Space Component
Data Access System (CSCDA)</t>
  </si>
  <si>
    <t>437,193</t>
  </si>
  <si>
    <t>60,631</t>
  </si>
  <si>
    <t>81,336</t>
  </si>
  <si>
    <t>261,511</t>
  </si>
  <si>
    <t>OPTICAL COMMUNICATION PAYLOADS IN-ORBIT MAINTENANCE
SUPPORT</t>
  </si>
  <si>
    <t>449,840</t>
  </si>
  <si>
    <t>220,000</t>
  </si>
  <si>
    <t>25,809</t>
  </si>
  <si>
    <t>3,900,161</t>
  </si>
  <si>
    <t>Sentinel-3 A/B Mission Analysis</t>
  </si>
  <si>
    <t>48,297</t>
  </si>
  <si>
    <t>375,000</t>
  </si>
  <si>
    <t>100,000</t>
  </si>
  <si>
    <t>Thales Alenia Space Schweiz AG</t>
  </si>
  <si>
    <t>SENTINEL-6A/B-REM</t>
  </si>
  <si>
    <t>479,612</t>
  </si>
  <si>
    <t>2,247,709</t>
  </si>
  <si>
    <t>206,589</t>
  </si>
  <si>
    <t>T-Systems International GmbH</t>
  </si>
  <si>
    <t>DATA CIRCULATION DISSEMINATION NETWORK AND SECURITY FOR
SENTINEL 2</t>
  </si>
  <si>
    <t>65,327</t>
  </si>
  <si>
    <t>DATA CIRCULATION DISSEMINATION NETWORK AND SECURITY FOR
SENTINEL 3</t>
  </si>
  <si>
    <t>43,643</t>
  </si>
  <si>
    <t>DATA CIRCULATION DISSEMINATION NETWORK AND SECURITY FOR
SENTINELS</t>
  </si>
  <si>
    <t>1,564,662</t>
  </si>
  <si>
    <t>234,445.00</t>
  </si>
  <si>
    <t>CSL - CENTRE SPATIAL DE LIÈGE</t>
  </si>
  <si>
    <t>1,379,013.00</t>
  </si>
  <si>
    <t>Sentinel-3 Satellites C/D Units construction</t>
  </si>
  <si>
    <t>511,598.00</t>
  </si>
  <si>
    <t>2,132,915.00</t>
  </si>
  <si>
    <t>SENTINEL-5 PHASE B2, C/D</t>
  </si>
  <si>
    <t>3,233,686.00</t>
  </si>
  <si>
    <t>Sentinel-6 A/B Satellite Instrument Construction</t>
  </si>
  <si>
    <t>884,976.00</t>
  </si>
  <si>
    <t>COPERNICUS SPACE COMPONENT DATA ACCESS (CSC DA)</t>
  </si>
  <si>
    <t>3,503,291.00</t>
  </si>
  <si>
    <t>EC/ESA COPERNICUS -</t>
  </si>
  <si>
    <t>311,825.00</t>
  </si>
  <si>
    <t>18,592.00</t>
  </si>
  <si>
    <t>CRISA SA COMPUTADORAS REDES E INGENIERIA</t>
  </si>
  <si>
    <t>18,444.00</t>
  </si>
  <si>
    <t>DEIMOS IMAGING S.L.U.</t>
  </si>
  <si>
    <t>568,000.00</t>
  </si>
  <si>
    <t>SENTINEL-1 UPGRADE FOR THE COMMISSIONING PHASE CALIBRATION AND PERFORMANCE
ANALYSIS FACILITY (CPAF) INFRASTRUCTURE</t>
  </si>
  <si>
    <t>PREPARATION AND OPERATIONS OF THE MISSION PERFORMANCE CENTRE (MPC) FOR THE GMES
SENTINEL-3 MISSION</t>
  </si>
  <si>
    <t>390,427.00</t>
  </si>
  <si>
    <t>COPERNICUS DATA AND INFORMATION ACCESS SERVICES OPERATIONS</t>
  </si>
  <si>
    <t>15,918,899.00</t>
  </si>
  <si>
    <t>SENTINEL-1 PAYLOAD DATA GROUND SEGMENT SYSTEM OPERATIONS, MAINTENANCE AND
EVOLUTIONS</t>
  </si>
  <si>
    <t>924,240.00</t>
  </si>
  <si>
    <t>SENTINEL-5 FPS ACTIVITY</t>
  </si>
  <si>
    <t>65,448.00</t>
  </si>
  <si>
    <t>SENTINEL-5P PLATFORM IN-ORBIT OPERATIONS</t>
  </si>
  <si>
    <t>592,090.00</t>
  </si>
  <si>
    <t>4,310,000.00</t>
  </si>
  <si>
    <t>VERY HIGH RESOLUTION (VHR) IMAGE 2018</t>
  </si>
  <si>
    <t>24,161,655.00</t>
  </si>
  <si>
    <t>99,625.00</t>
  </si>
  <si>
    <t>SENTINEL-3 CNES ROUTINE OPERATIONAL PHASE SUPPORT</t>
  </si>
  <si>
    <t>132,588.00</t>
  </si>
  <si>
    <t>COBHAM CHELTON TELECOM &amp; MICROWAVETRADING AS COBHAM MICROWAVE SAS</t>
  </si>
  <si>
    <t>45,300.00</t>
  </si>
  <si>
    <t>SENTINEL-6 A/B - DUPLEXER C-BAND</t>
  </si>
  <si>
    <t>29,592.00</t>
  </si>
  <si>
    <t>SENTINEL-2 PAYLOAD DATA GROUND SEGMENT (PDGS)</t>
  </si>
  <si>
    <t>82,046.00</t>
  </si>
  <si>
    <t>22,080.00</t>
  </si>
  <si>
    <t>EXPRIVIA SPA</t>
  </si>
  <si>
    <t>AIRBUS DEFENCE &amp; SPACE NETHERLANDS(FORMER DUTCH SPACE)</t>
  </si>
  <si>
    <t>37,748.00</t>
  </si>
  <si>
    <t>SENTINEL-5P TROPOMI INSTRUMENT IN-ORBIT OPERATIONS</t>
  </si>
  <si>
    <t>1,117,977.00</t>
  </si>
  <si>
    <t>SENTINEL USER HANDBOOK</t>
  </si>
  <si>
    <t>64,034.00</t>
  </si>
  <si>
    <t>1,845,067.00</t>
  </si>
  <si>
    <t>SENTINEL-6 A/B - MPPS</t>
  </si>
  <si>
    <t>74,734.00</t>
  </si>
  <si>
    <t>SENTINEL-1 OPERATIONAL SIMULATOR DEVELOPMENT AND MAINTENANCE</t>
  </si>
  <si>
    <t>500,000.00</t>
  </si>
  <si>
    <t>COPERNICUS OPERATIONS SERVICE SUPPORT</t>
  </si>
  <si>
    <t>284,442.73</t>
  </si>
  <si>
    <t>HTG- HYPERSCHALL TECHNOLOGIE GOETTI</t>
  </si>
  <si>
    <t>SENTINEL-6 A/B - TEST FACILITIES</t>
  </si>
  <si>
    <t>1,010,000.00</t>
  </si>
  <si>
    <t>103,016.00</t>
  </si>
  <si>
    <t>KNMI</t>
  </si>
  <si>
    <t>SENTINEL-5 PRECURSOR (S5P) MISSION PERFORMANCE CENTRE (MPC)</t>
  </si>
  <si>
    <t>6,821,517.00</t>
  </si>
  <si>
    <t>51,380.00</t>
  </si>
  <si>
    <t>SENTINEL-6 A/B - SAW</t>
  </si>
  <si>
    <t>101,697.00</t>
  </si>
  <si>
    <t>1,951,326.05</t>
  </si>
  <si>
    <t>COPERNICUS PRECISE ORBIT DETERMINATION, GPS ORBITS AND CLOCKS</t>
  </si>
  <si>
    <t>1,963,533.00</t>
  </si>
  <si>
    <t>LUFTBLICK OG</t>
  </si>
  <si>
    <t>POP (PANDONIA OPERATIONS)</t>
  </si>
  <si>
    <t>1,900,000.00</t>
  </si>
  <si>
    <t>57,217.00</t>
  </si>
  <si>
    <t>NATIONAL PHYSICAL LABORATORY - NPL Management Limited</t>
  </si>
  <si>
    <t>VALIDATION FOR VEGETATION (VAL4VEG)</t>
  </si>
  <si>
    <t>448,483.00</t>
  </si>
  <si>
    <t>OCEANDATALAB</t>
  </si>
  <si>
    <t>SENTINEL-1 RADIAL VELOCITIES (RVL) PILOT PROJECT</t>
  </si>
  <si>
    <t>198,863.00</t>
  </si>
  <si>
    <t>Planet Labs Germany GmbH</t>
  </si>
  <si>
    <t>BLACKBRIDGE - COPERNICUS SPACE COMPONENT DATA ACCESS (CSC DA) DATA WAREHOUSE</t>
  </si>
  <si>
    <t>953,213.00</t>
  </si>
  <si>
    <t>PDGS - ENGINEERING AND MANAGEMENT SUPPORT SERVICES</t>
  </si>
  <si>
    <t>382,386.17</t>
  </si>
  <si>
    <t>PDGS - ENGINEERING AND MANAGEMENT SUPPORT SERVICES (EMSS)</t>
  </si>
  <si>
    <t>586,286.37</t>
  </si>
  <si>
    <t>29,910.00</t>
  </si>
  <si>
    <t>SENTINEL-5P TROPOMI INSTRUMENT IN-ORBIT OPERATIONS MAINTENANCE SUPPORT</t>
  </si>
  <si>
    <t>526,605.00</t>
  </si>
  <si>
    <t>DEVELOPMENT AND MAINTENANCE OF OPERATIONAL SIMULATOR FOR SENTINEL</t>
  </si>
  <si>
    <t>300,000.00</t>
  </si>
  <si>
    <t>SENTINELS ROLLING ARCHIVE PRODUCTS USER ACCESS, OPERATIONS, MAINTENANCE AND
EVOLUTIONS</t>
  </si>
  <si>
    <t>1,060,209.64</t>
  </si>
  <si>
    <t>150,364.00</t>
  </si>
  <si>
    <t>SENTINEL-5P PLATFORM IN-ORBIT OPERATIONS MAINTENANCE SUPPORT</t>
  </si>
  <si>
    <t>240,504.00</t>
  </si>
  <si>
    <t>COPERNICUS SENTINELS HKTM ANALYSIS WAREHOUSING TOOL. FOS ENGINEERING AND
OPERATIONAL SUPPORT</t>
  </si>
  <si>
    <t>799,999.82</t>
  </si>
  <si>
    <t>SENTINEL-6 A/B - CESS</t>
  </si>
  <si>
    <t>45,000.00</t>
  </si>
  <si>
    <t>161,957.00</t>
  </si>
  <si>
    <t>179,890.00</t>
  </si>
  <si>
    <t>SWEDISH SPACE CORPORATION</t>
  </si>
  <si>
    <t>COPERNICUS KIRUNA STATION OPERATIONS AND MAINTENANCE SERVICES</t>
  </si>
  <si>
    <t>4,432,320.00</t>
  </si>
  <si>
    <t>17,619.00</t>
  </si>
  <si>
    <t>COPERNICUS SPACE COMPONENT DATA ACCESS SYSTEM (CSCDA) COORDINATED DATA ACCESS
SYSTEM (CDS) VERSION 3 EVOLUTIONS, OPERATIONS AND MAINTENANCE (CDS V3)</t>
  </si>
  <si>
    <t>6,171,093.00</t>
  </si>
  <si>
    <t>COPERNICUS FLIGHT OPERATIONS SEGMENT MISSION CONTROL SYSTEM EVOLUTION TECHNICAL
STUDY</t>
  </si>
  <si>
    <t>75,791.03</t>
  </si>
  <si>
    <t>STUDY ON OPERATIONS PREPARATION ENVIRONMENT(S) FOR MANAGEMENT OF COPERNICUS
SENTINEL MULTI-SATELLITE CONSTELLATIONS (OPEN-MC)</t>
  </si>
  <si>
    <t>278,188.00</t>
  </si>
  <si>
    <t>321,441.00</t>
  </si>
  <si>
    <t>SENTINEL-6 A/B - SBT</t>
  </si>
  <si>
    <t>21,817.00</t>
  </si>
  <si>
    <t>COPERNICUS SPACE COMPONENT SENTINEL-2 PAYLOAD DATA GROUND SEGMENT SYSTEM
OPERATIONS, MAINTENANCE AND EVOLUTION</t>
  </si>
  <si>
    <t>29,119,786.00</t>
  </si>
  <si>
    <t>134,864.00</t>
  </si>
  <si>
    <t>1,387,028.00</t>
  </si>
  <si>
    <t>2,807,158.00</t>
  </si>
  <si>
    <t>438,235.00</t>
  </si>
  <si>
    <t>DATA CIRCULATION DISSEMINATION NETWORK AND SECURITY FOR THE GMES SENTINELS
SATELLITES</t>
  </si>
  <si>
    <t>1,863,041.96</t>
  </si>
  <si>
    <t>TTI</t>
  </si>
  <si>
    <t>PORTING OF GROUND STATION MONITORING AND CONTROL SYSTEM IN SUPPORT TO COPERNICUS
SENTINELS MULTI-SATELLITE CONSTELLATIONS</t>
  </si>
  <si>
    <t>TU Wien</t>
  </si>
  <si>
    <t>DEVELOPMENT OF A GLOBAL SENTINEL-1 LAND SURFACE BACKSCATTER MODEL</t>
  </si>
  <si>
    <t>234,889.00</t>
  </si>
  <si>
    <t>UNIVERSITY OF SOUTHAMPTON</t>
  </si>
  <si>
    <t>COPERNICUS SENTINEL-3 SEA AND LAND SURFACE TEMPERATURE RADIOMETER SEA SURFACE
TEMPERATURE VALIDATION USING FIDUCIAL REFERENCE MEASUREMENTS SERVICE</t>
  </si>
  <si>
    <t>399,881.00</t>
  </si>
  <si>
    <t>COPERNICUS SPACE COMPONENT DATA ACCESS (CSC DA) DATA WAREHOUSE</t>
  </si>
  <si>
    <t>939,276.00</t>
  </si>
  <si>
    <t>Contract value
on Copernicus
2019 (€)</t>
  </si>
  <si>
    <t>ATOS IT SOLUTIONS &amp; SERVICES GMBH</t>
  </si>
  <si>
    <t>164,065.00</t>
  </si>
  <si>
    <t>SENTINEL-6 A/B - EGSE</t>
  </si>
  <si>
    <t>53,428.00</t>
  </si>
  <si>
    <t>C-CORE</t>
  </si>
  <si>
    <t>SENTINEL-1 TRANSPONDER REFURBISHMENT</t>
  </si>
  <si>
    <t>248,500.00</t>
  </si>
  <si>
    <t>1,222,225.00</t>
  </si>
  <si>
    <t>Airbus Def&amp;Space GmbH</t>
  </si>
  <si>
    <t>2,103,804.00</t>
  </si>
  <si>
    <t>656,708.00</t>
  </si>
  <si>
    <t>SENTINEL-5 PHASE B2</t>
  </si>
  <si>
    <t>3,109,000.00</t>
  </si>
  <si>
    <t>SENTINEL-6 A/B - PRIME</t>
  </si>
  <si>
    <t>1,119,222.00</t>
  </si>
  <si>
    <t>OFF-LINE PROCESSING AND ARCHIVING CENTRES (PACS)</t>
  </si>
  <si>
    <t>2,494,747.99</t>
  </si>
  <si>
    <t>SENTINEL-1 AUXILIARY PRODUCT FOR PRECISE ATMOSPHERIC AND GEODETIC CORRECTION</t>
  </si>
  <si>
    <t>599,906.00</t>
  </si>
  <si>
    <t>SENTINEL-5 PRECURSOR PAYLOAD DATA GROUND SEGMENT UPGRADE TO OPERATIONS</t>
  </si>
  <si>
    <t>837,225.00</t>
  </si>
  <si>
    <t>5,500,000.00</t>
  </si>
  <si>
    <t>68,387.00</t>
  </si>
  <si>
    <t>SENTINEL-6 A/B - HARNESS</t>
  </si>
  <si>
    <t>28,271.00</t>
  </si>
  <si>
    <t>650,001.00</t>
  </si>
  <si>
    <t>37,266.00</t>
  </si>
  <si>
    <t>SENTINEL-6 A/B - PCDU</t>
  </si>
  <si>
    <t>280,815.00</t>
  </si>
  <si>
    <t>PREPARATION AND OPERATIONS OF THE MISSION PERFORMANCE CENTRE (MPC) FOR THE
SENTINEL-3 MISSION</t>
  </si>
  <si>
    <t>1,354,940.00</t>
  </si>
  <si>
    <t>241,277.00</t>
  </si>
  <si>
    <t>4,583,949.00</t>
  </si>
  <si>
    <t>VEGA-C LAUNCHER COMPATIBILITY STUDY FOR SENTINEL-1C</t>
  </si>
  <si>
    <t>1,282,440.00</t>
  </si>
  <si>
    <t>VEGA-C LAUNCHER COMPATIBILITY STUDY FOR SENTINEL-2C</t>
  </si>
  <si>
    <t>1,059,240.00</t>
  </si>
  <si>
    <t>VEGA-C LAUNCHER COMPATIBILITY STUDY FOR SENTINEL-3C</t>
  </si>
  <si>
    <t>1,055,240.00</t>
  </si>
  <si>
    <t>MISSION PERFORMANCE CENTERS (MPC) FOR SENTINEL 1</t>
  </si>
  <si>
    <t>3,360,448.00</t>
  </si>
  <si>
    <t>267,614.00</t>
  </si>
  <si>
    <t>399,960.00</t>
  </si>
  <si>
    <t>PREPARATION AND OPERATIONS OF THE MISSION PERFORMANCE CENTRE (MPC) FOR THE
SENTINEL-2 MISSION</t>
  </si>
  <si>
    <t>1,809,849.00</t>
  </si>
  <si>
    <t>GAEL SYSTEMS</t>
  </si>
  <si>
    <t>COPERNICUS LONG TERM ARCHIVE DATA BRIDGE SERVICE</t>
  </si>
  <si>
    <t>ALIA SPACE SYSTEMS SRL</t>
  </si>
  <si>
    <t>COPERNICUS DATA ACQUISITION CAPACITY ANALYSIS</t>
  </si>
  <si>
    <t>389,796.00</t>
  </si>
  <si>
    <t>SENTINEL-1 RADIO FREQUENCY INTERFERENCES GLOBAL MAPPING</t>
  </si>
  <si>
    <t>120,000.00</t>
  </si>
  <si>
    <t>78,569.00</t>
  </si>
  <si>
    <t>PREPARATION AND OPERATION OF THE CORE X-BAND ACQUISITION AND NEAR REAL-TIME
FACILITIES - MATERA GROUND STATION</t>
  </si>
  <si>
    <t>217,765.00</t>
  </si>
  <si>
    <t>COPERNICUS SPACE COMPONENT WORLDWIDE SENTINELS DATA ACCESS BENCHMARK</t>
  </si>
  <si>
    <t>999,110.00</t>
  </si>
  <si>
    <t>AIRBUS DEFENCE &amp; SPACE NETHERLANDS B.V.</t>
  </si>
  <si>
    <t>28,266.00</t>
  </si>
  <si>
    <t>26,762.00</t>
  </si>
  <si>
    <t>COPERNICUS DIGITAL ELEVATION MODEL (DEM)</t>
  </si>
  <si>
    <t>10,000,000.00</t>
  </si>
  <si>
    <t>102,119.00</t>
  </si>
  <si>
    <t>HOSTING, OPERATION, MAINTENANCE, EVOLUTION AND CONTENTMANAGEMENT OF AGENCYS
COPERNICUS SENTINELS WORLD WIDEWEB SITES</t>
  </si>
  <si>
    <t>504,755.00</t>
  </si>
  <si>
    <t>119,340.00</t>
  </si>
  <si>
    <t>39,055.00</t>
  </si>
  <si>
    <t>COM DEV EUROPE LIMITED (T/A HONEYWELL)</t>
  </si>
  <si>
    <t>1,140,000.00</t>
  </si>
  <si>
    <t>MCS DEVELOPMENT AND MAINTENANCE</t>
  </si>
  <si>
    <t>829,576.00</t>
  </si>
  <si>
    <t>227,000.00</t>
  </si>
  <si>
    <t>176,800.00</t>
  </si>
  <si>
    <t>444,760.00</t>
  </si>
  <si>
    <t>INTA. INSTITUTO NACIONAL DE TECNICA AEROESPACIAL</t>
  </si>
  <si>
    <t>ACQUISITION AND NEAR REAL-TIME (NRT) STATIONS</t>
  </si>
  <si>
    <t>263,602.50</t>
  </si>
  <si>
    <t>SENTINEL- 5 NIR SO ACTIVITY</t>
  </si>
  <si>
    <t>183,156.00</t>
  </si>
  <si>
    <t>PREPARATION AND OPERATION OF THE CORE X-BAND ACQUISITION AND NEAR REAL-TIME
FACILITIES - SVALBARD GROUND STATION</t>
  </si>
  <si>
    <t>408,367.00</t>
  </si>
  <si>
    <t>SENTINEL-3 IN-ORBIT OPERATIONS MAINTENANCE SUPPORT.</t>
  </si>
  <si>
    <t>235,549.00</t>
  </si>
  <si>
    <t>45,378.00</t>
  </si>
  <si>
    <t>408,198.97</t>
  </si>
  <si>
    <t>LUSOSPACE - PROJ DE ENGENHARIA</t>
  </si>
  <si>
    <t>SENTINEL-5 OGSE ACTIVITY</t>
  </si>
  <si>
    <t>2,220,185.00</t>
  </si>
  <si>
    <t>NANSEN ENVIRONMENTAL &amp; REMOTE SENSI</t>
  </si>
  <si>
    <t>SENTINEL-1 ADVANCED NOISE REMOVAL APPROACH</t>
  </si>
  <si>
    <t>149,778.00</t>
  </si>
  <si>
    <t>Rayference SPRL</t>
  </si>
  <si>
    <t>RADIATIVE TRANSFER MODEL FOR PRODUCTS VALIDATION (RTMPV)</t>
  </si>
  <si>
    <t>1,000,000.00</t>
  </si>
  <si>
    <t>1,035,554.00</t>
  </si>
  <si>
    <t>140,000.00</t>
  </si>
  <si>
    <t>25,060.00</t>
  </si>
  <si>
    <t>SCIENCE AND TECHNOLOGY BV</t>
  </si>
  <si>
    <t>SENTINEL 5-P PRODUCT ALGORITHM LABORATORY</t>
  </si>
  <si>
    <t>1,599,971.00</t>
  </si>
  <si>
    <t>SCISYS DEUTSCHLAND GMBH</t>
  </si>
  <si>
    <t>ADAPTATION OF FLIGHT DYNAMICS ORBIT INFRASTRUCTURE FOR SENTINEL-C/D</t>
  </si>
  <si>
    <t>SCISYS UK Ltd</t>
  </si>
  <si>
    <t>SENER AEROESPACIAL, S.A.</t>
  </si>
  <si>
    <t>519,640.00</t>
  </si>
  <si>
    <t>996,613.61</t>
  </si>
  <si>
    <t>SIMON FRASER UNIVERSITY</t>
  </si>
  <si>
    <t>SENTINEL-1 DOPPLER CENTROID ESTIMATION ANALYSIS</t>
  </si>
  <si>
    <t>84,485.00</t>
  </si>
  <si>
    <t>36,672.00</t>
  </si>
  <si>
    <t>SENTINEL 2 3 FIDUCIAL REFERENCES: MEASUREMENT FOR OCEAN COLOUR</t>
  </si>
  <si>
    <t>18,789.00</t>
  </si>
  <si>
    <t>SENTINEL-3 OPTICAL PHASE E1 MANAGEMENT</t>
  </si>
  <si>
    <t>151,553.00</t>
  </si>
  <si>
    <t>KIRUNA STATION OPERATIONS AND MAINTENANCE SERVICES</t>
  </si>
  <si>
    <t>55,743.00</t>
  </si>
  <si>
    <t>TAITUS SOFTWARE ITALIA SRL</t>
  </si>
  <si>
    <t>SaVoir licenses &amp; GSA maintenance</t>
  </si>
  <si>
    <t>31,350.00</t>
  </si>
  <si>
    <t>TELECOM ITALIA S.P.A. O TIM S.P.A.</t>
  </si>
  <si>
    <t>EARTH OBSERVATION ENHANCED SECURITY OPERATIONS SERVICES (ESOS) FOR COPERNICUS</t>
  </si>
  <si>
    <t>3,500,000.00</t>
  </si>
  <si>
    <t>PRISM: COPERNICUS CONTRIBUTING MISSIONS ACCESS SUPPORT FUNCTIONS AND PLATFORM</t>
  </si>
  <si>
    <t>OPTICAL COMMUNICATION PAYLOADS IN-ORBIT MAINTENANCE SUPPORT</t>
  </si>
  <si>
    <t>892,794.00</t>
  </si>
  <si>
    <t>20,059.00</t>
  </si>
  <si>
    <t>SENTINEL-6 A/B - XBDA</t>
  </si>
  <si>
    <t>31,775.00</t>
  </si>
  <si>
    <t>65,000.00</t>
  </si>
  <si>
    <t>508,000.00</t>
  </si>
  <si>
    <t>SENTINEL-2 PAYLOAD DATA GROUND SEGMENT SYSTEM OPERATIONS, MAINTENANCE AND
EVOLUTION</t>
  </si>
  <si>
    <t>3,000,000.00</t>
  </si>
  <si>
    <t>1,713,117.00</t>
  </si>
  <si>
    <t>70,656.00</t>
  </si>
  <si>
    <t>2,003,222.00</t>
  </si>
  <si>
    <t>48,631.00</t>
  </si>
  <si>
    <t>TNO, Netherlands Organisation for Applied Scientific Research</t>
  </si>
  <si>
    <t>SENTINEL-5 PHASE B2, C/D, E1 CALIBRATION ENGINEERING.</t>
  </si>
  <si>
    <t>29,702.00</t>
  </si>
  <si>
    <t>DATA CIRCULATION DISSEMINATION NETWORK AND SECURITY FOR THE SENTINELS SATELLITES</t>
  </si>
  <si>
    <t>7,130,925.01</t>
  </si>
  <si>
    <t>95,596.00</t>
  </si>
  <si>
    <t>329,165.00</t>
  </si>
  <si>
    <t>Contract value
on Copernicus
2020 (€)</t>
  </si>
  <si>
    <t>LTA SERVICE FOR SENTINEL-1, 2, 3 OVER THE PERIOD 2020-2022</t>
  </si>
  <si>
    <t>1,483,400.00</t>
  </si>
  <si>
    <t>495,042.00</t>
  </si>
  <si>
    <t>COPERNICUS SPACE COMPONENT VALIDATION FOR LAND SURFACE TEMPERATURE, AEROSOL
OPTICAL DEPTH AND WATER VAPOUR SENTINEL-3 PRODUCTS</t>
  </si>
  <si>
    <t>713,760.00</t>
  </si>
  <si>
    <t>CORE PRODUCTS ALGORITHM STUDIES</t>
  </si>
  <si>
    <t>260,898.00</t>
  </si>
  <si>
    <t>155,463.00</t>
  </si>
  <si>
    <t>ADWÄISEO</t>
  </si>
  <si>
    <t>596,600.00</t>
  </si>
  <si>
    <t>1,309,720.00</t>
  </si>
  <si>
    <t>SENTINEL-5 - PRIME</t>
  </si>
  <si>
    <t>1,187,827.00</t>
  </si>
  <si>
    <t>21,250.00</t>
  </si>
  <si>
    <t>12,000,000.00</t>
  </si>
  <si>
    <t>73,786.00</t>
  </si>
  <si>
    <t>1,748,103.00</t>
  </si>
  <si>
    <t>SENTINEL-1 PAYLOAD DATA GROUND SEGMENT SYSTEM OPERATIONS, MAINTENANCE AND
EVOLUTIONS (2015-2020)</t>
  </si>
  <si>
    <t>11,799,305.84</t>
  </si>
  <si>
    <t>COPERNICUS SPACE COMPONENT DATA ACCESS (CSC DA) DATA WAREHOUSE 2014 2020</t>
  </si>
  <si>
    <t>9,856,351.00</t>
  </si>
  <si>
    <t>Alberto Bigazzi</t>
  </si>
  <si>
    <t>IMPROVED SPECTROSCOPY FOR ATMOSPHERIC SENTINEL MISSIONS</t>
  </si>
  <si>
    <t>53,760.00</t>
  </si>
  <si>
    <t>50,400.00</t>
  </si>
  <si>
    <t>58,560.00</t>
  </si>
  <si>
    <t>DATA RELAY SERVICES (EDRS)</t>
  </si>
  <si>
    <t>11,530,173.00</t>
  </si>
  <si>
    <t>34,489.00</t>
  </si>
  <si>
    <t>CGI Deutschland B.V. &amp; Co. KG</t>
  </si>
  <si>
    <t>OPERATIONS SERVICE SUPPORT</t>
  </si>
  <si>
    <t>396,451.00</t>
  </si>
  <si>
    <t>347,906.00</t>
  </si>
  <si>
    <t>CGI ITALIA S.R.L.</t>
  </si>
  <si>
    <t>LONG TERM ARCHIVE SERVICE</t>
  </si>
  <si>
    <t>76,389.75</t>
  </si>
  <si>
    <t>CLOUDFERRO SP Z O.</t>
  </si>
  <si>
    <t>740,000.00</t>
  </si>
  <si>
    <t>CNRS</t>
  </si>
  <si>
    <t>49,385.00</t>
  </si>
  <si>
    <t>CS GROUP - France</t>
  </si>
  <si>
    <t>REPROCESSING REFERENCE PACKAGE PREPARATION</t>
  </si>
  <si>
    <t>499,904.00</t>
  </si>
  <si>
    <t>COPERNICUS SPACE COMPONENT - SENTINEL-1 PAYLOAD DATA GROUND SEGMENT SYSTEM
OPERATIONS, MAINTENANCE AND EVOLUTIONS (2015-2020)</t>
  </si>
  <si>
    <t>120,970.00</t>
  </si>
  <si>
    <t>PREPARATION AND OPERATIONS OF THE MISSION PERFORMANCE CENTRE (MPC) FOR THE GMES
SENTINEL-2 MISSION</t>
  </si>
  <si>
    <t>1,231,605.00</t>
  </si>
  <si>
    <t>RESEARCH AND USER SUPPORT (RUS) FOR SENTINEL CORE PRODUCTS -SERVICE OPERATIONS</t>
  </si>
  <si>
    <t>902,436.00</t>
  </si>
  <si>
    <t>UPGRADE OF THE CALIBRATION AND PERFORMANCE ANALYSIS FACILITY (CPAF)
INFRASTRUCTURE</t>
  </si>
  <si>
    <t>99,800.00</t>
  </si>
  <si>
    <t>ENGINEERING AND MANAGEMENT SUPPORT SERVICES (EMSS)</t>
  </si>
  <si>
    <t>208,986.00</t>
  </si>
  <si>
    <t>STUDY ON IONOSPHERIC EFFECTS ON SAR AND THEIR STATISTICS</t>
  </si>
  <si>
    <t>X BAND ACQUISITION TT-C SERVICES</t>
  </si>
  <si>
    <t>416,932.01</t>
  </si>
  <si>
    <t>PRECISE ORBIT DETERMINATION SERVICE (POD SERVICE)</t>
  </si>
  <si>
    <t>27,216.00</t>
  </si>
  <si>
    <t>2,020,840.00</t>
  </si>
  <si>
    <t>191,575.00</t>
  </si>
  <si>
    <t>ACQUISITION AND TTC SERVICES</t>
  </si>
  <si>
    <t>1,681,740.00</t>
  </si>
  <si>
    <t>1,305,549.00</t>
  </si>
  <si>
    <t>18,998,438.00</t>
  </si>
  <si>
    <t>2,133,610.25</t>
  </si>
  <si>
    <t>26,150.00</t>
  </si>
  <si>
    <t>FINNISH METEOROLOGICAL INST</t>
  </si>
  <si>
    <t>VALIDATION FOR LAND SURFACE TEMPERATURE, AEROSOL OPTICAL DEPTH AND WATER VAPOUR
SENTINEL-3 PRODUCTS</t>
  </si>
  <si>
    <t>329,283.00</t>
  </si>
  <si>
    <t>125,985.00</t>
  </si>
  <si>
    <t>FREIE UNIVERSITAET BERLIN</t>
  </si>
  <si>
    <t>ATMOSPHERE S5P CAMPAIGNS</t>
  </si>
  <si>
    <t>56,500.00</t>
  </si>
  <si>
    <t>Friedrich Schiller University Jena</t>
  </si>
  <si>
    <t>170,652.00</t>
  </si>
  <si>
    <t>131,000.00</t>
  </si>
  <si>
    <t>284,264.00</t>
  </si>
  <si>
    <t>PREPARATION OF SENTINELS IPF INSTALLATION PACKAGES FOR PRODUCTION CFIS</t>
  </si>
  <si>
    <t>211,386.00</t>
  </si>
  <si>
    <t>2,327,350.00</t>
  </si>
  <si>
    <t>SENTINEL MCS DEVELOPMENT AND MAINTENANCE</t>
  </si>
  <si>
    <t>154,776.63</t>
  </si>
  <si>
    <t>GMV GmbH</t>
  </si>
  <si>
    <t>91,270.80</t>
  </si>
  <si>
    <t>40,000.00</t>
  </si>
  <si>
    <t>77,914.10</t>
  </si>
  <si>
    <t>299,000.00</t>
  </si>
  <si>
    <t>494,940.77</t>
  </si>
  <si>
    <t>HELMHOLTZ-ZENTRUM POTSDAM -DEUTSCHGEOFORSCHUNGSZENTRUM</t>
  </si>
  <si>
    <t>21,961.00</t>
  </si>
  <si>
    <t>HULD LTD</t>
  </si>
  <si>
    <t>72,850.00</t>
  </si>
  <si>
    <t>Test Facitlties</t>
  </si>
  <si>
    <t>160,900.00</t>
  </si>
  <si>
    <t>IMS SPACE CONSULTANCY GMBH</t>
  </si>
  <si>
    <t>179,301.00</t>
  </si>
  <si>
    <t>223,512.00</t>
  </si>
  <si>
    <t>112,985.00</t>
  </si>
  <si>
    <t>79,508.00</t>
  </si>
  <si>
    <t>915,947.17</t>
  </si>
  <si>
    <t>297,334.00</t>
  </si>
  <si>
    <t>INRAE</t>
  </si>
  <si>
    <t>INTA - X-BAND ACQUIS SERVICES</t>
  </si>
  <si>
    <t>2,273,222.00</t>
  </si>
  <si>
    <t>460,000.00</t>
  </si>
  <si>
    <t>60,267.00</t>
  </si>
  <si>
    <t>KARLSRUHE INSTITUTE OF TECHNOLOGY - KIT</t>
  </si>
  <si>
    <t>195,901.00</t>
  </si>
  <si>
    <t>57,158.00</t>
  </si>
  <si>
    <t>48,000.00</t>
  </si>
  <si>
    <t>X-BAND ACQUISITION SERVICES</t>
  </si>
  <si>
    <t>12,647,217.00</t>
  </si>
  <si>
    <t>IHAR supply</t>
  </si>
  <si>
    <t>64,154.00</t>
  </si>
  <si>
    <t>1,965,908.33</t>
  </si>
  <si>
    <t>1,259,685.58</t>
  </si>
  <si>
    <t>245,455.53</t>
  </si>
  <si>
    <t>378,280.57</t>
  </si>
  <si>
    <t>MAGELLAN NAVIGATION SAS</t>
  </si>
  <si>
    <t>49,374.00</t>
  </si>
  <si>
    <t>National Infrastructures for Research and Technology SA</t>
  </si>
  <si>
    <t>37,233.00</t>
  </si>
  <si>
    <t>NATIONAL INSTITUTE OF RESEARCH AND DEVELOPMENT
FOR OPTOELECTRONICS INOE</t>
  </si>
  <si>
    <t>51,000.00</t>
  </si>
  <si>
    <t>NATIONAL OBSERVATORY OF ATHENS</t>
  </si>
  <si>
    <t>19,350.00</t>
  </si>
  <si>
    <t>NICOLAUS COPERNICUS UNIVERSITY</t>
  </si>
  <si>
    <t>69,999.00</t>
  </si>
  <si>
    <t>SATELLITE SERVICE SUPPORT</t>
  </si>
  <si>
    <t>122,768.70</t>
  </si>
  <si>
    <t>SATELLITE SERVICE SUPPORT FOR COPERNICUS</t>
  </si>
  <si>
    <t>245,537.40</t>
  </si>
  <si>
    <t>204,614.50</t>
  </si>
  <si>
    <t>264,793.51</t>
  </si>
  <si>
    <t>93,587.00</t>
  </si>
  <si>
    <t>157,645.00</t>
  </si>
  <si>
    <t>830,957.49</t>
  </si>
  <si>
    <t>RHEA System S.p.A.</t>
  </si>
  <si>
    <t>589,484.00</t>
  </si>
  <si>
    <t>353,240.00</t>
  </si>
  <si>
    <t>244,591.00</t>
  </si>
  <si>
    <t>17,350.00</t>
  </si>
  <si>
    <t>60,000.00</t>
  </si>
  <si>
    <t>121,076.00</t>
  </si>
  <si>
    <t>273,908.00</t>
  </si>
  <si>
    <t>OPERATIONAL SIMULATOR FOR SENTINEL</t>
  </si>
  <si>
    <t>SENER Aeroespacial, S.A.</t>
  </si>
  <si>
    <t>41,859.00</t>
  </si>
  <si>
    <t>499,406.00</t>
  </si>
  <si>
    <t>951,002.02</t>
  </si>
  <si>
    <t>586,078.00</t>
  </si>
  <si>
    <t>SERCO SERVICES GMBH</t>
  </si>
  <si>
    <t>VIRTUALISATION OF FOS SYSTEMS UNDER A DIAS-LIKE SERVICE</t>
  </si>
  <si>
    <t>394,377.00</t>
  </si>
  <si>
    <t>228,182.00</t>
  </si>
  <si>
    <t>219,897.00</t>
  </si>
  <si>
    <t>106,384.00</t>
  </si>
  <si>
    <t>334,602.00</t>
  </si>
  <si>
    <t>SPECTRAL EARTH GMBH</t>
  </si>
  <si>
    <t>26,590.00</t>
  </si>
  <si>
    <t>Stichting SRON Netherlands Institute for Space Research</t>
  </si>
  <si>
    <t>18,755.00</t>
  </si>
  <si>
    <t>162,000.00</t>
  </si>
  <si>
    <t>3,590,110.00</t>
  </si>
  <si>
    <t>49,894.00</t>
  </si>
  <si>
    <t>TELESPAZIO FRANCE</t>
  </si>
  <si>
    <t>203,546.00</t>
  </si>
  <si>
    <t>Telespazio Germany GmbH</t>
  </si>
  <si>
    <t>147,188.08</t>
  </si>
  <si>
    <t>908,543.55</t>
  </si>
  <si>
    <t>227,452.38</t>
  </si>
  <si>
    <t>103,170.00</t>
  </si>
  <si>
    <t>40,033.48</t>
  </si>
  <si>
    <t>SENTINEL-3 LAND PAYLOAD DATA GROUND SEGMENT SYSTEM OPERATIONS, MAINTENANCE AND
EVOLUTIONS (2015-2021)</t>
  </si>
  <si>
    <t>218,414.00</t>
  </si>
  <si>
    <t>TERMA GMBH</t>
  </si>
  <si>
    <t>29,520.00</t>
  </si>
  <si>
    <t>1,215,692.00</t>
  </si>
  <si>
    <t>42,438.00</t>
  </si>
  <si>
    <t>3,759,301.00</t>
  </si>
  <si>
    <t>78,093.00</t>
  </si>
  <si>
    <t>THALES SERVICES NUMERIQUES S.A.S</t>
  </si>
  <si>
    <t>272,520.00</t>
  </si>
  <si>
    <t>The Royal Belgian Institute for Space Aeronomy</t>
  </si>
  <si>
    <t>620,360.00</t>
  </si>
  <si>
    <t>362,500.00</t>
  </si>
  <si>
    <t>111,952.00</t>
  </si>
  <si>
    <t>1,147,691.56</t>
  </si>
  <si>
    <t>UNIVERSITAET BREMEN</t>
  </si>
  <si>
    <t>55,012.00</t>
  </si>
  <si>
    <t>105,063.00</t>
  </si>
  <si>
    <t>UNIVERSITE TOULOUSE III-PAUL SABATIER</t>
  </si>
  <si>
    <t>42,500.00</t>
  </si>
  <si>
    <t>UNIVERSITY OF HEIDELBERG</t>
  </si>
  <si>
    <t>78,323.00</t>
  </si>
  <si>
    <t>UNIVERSITY OF LEICESTER</t>
  </si>
  <si>
    <t>209,099.00</t>
  </si>
  <si>
    <t>UNIVERSITY OF SWANSEA</t>
  </si>
  <si>
    <t>24,908.00</t>
  </si>
  <si>
    <t>147,000.00</t>
  </si>
  <si>
    <t>64,902.00</t>
  </si>
  <si>
    <t>VITROCISET BELGIUM SRL</t>
  </si>
  <si>
    <t>687,015.00</t>
  </si>
  <si>
    <t>307,160.00</t>
  </si>
  <si>
    <t>67,809.00</t>
  </si>
  <si>
    <t>187,675.00</t>
  </si>
  <si>
    <t>WERUM SOFTWARE &amp; SYSTEMS AG</t>
  </si>
  <si>
    <t>1,880,000.00</t>
  </si>
  <si>
    <t>Contract value
on Copernicus
2021 (€)</t>
  </si>
  <si>
    <t>COPERNICUS SPACE COMPONENT SENTINEL OPTICAL IMAGING MISSION PERFORMANCE CLUSTER SERVICE</t>
  </si>
  <si>
    <t>3,609,997.00</t>
  </si>
  <si>
    <t>ESA GROUND SEGMENT OPERATIONS FRAMEWORK PRODUCTION SERVICE</t>
  </si>
  <si>
    <t>6,264,990.00</t>
  </si>
  <si>
    <t>208,998.00</t>
  </si>
  <si>
    <t>S-3 L1 IPF MAINTENANCE</t>
  </si>
  <si>
    <t>336,398.00</t>
  </si>
  <si>
    <t>SENTINEL-1 PAYLOAD DATA GROUND SEGMENT SYSTEM OPERATIONS, MAINTENANCE AND EVOLUTIONS</t>
  </si>
  <si>
    <t>108,380.00</t>
  </si>
  <si>
    <t>SENTINEL-2 PAYLOAD DATA GROUND SEGMENT SYSTEM OPERATIONS, MAINTENANCE AND EVOLUTION</t>
  </si>
  <si>
    <t>199,104.00</t>
  </si>
  <si>
    <t>25,563,317.00</t>
  </si>
  <si>
    <t>4,921,616.00</t>
  </si>
  <si>
    <t>Sentinel-6 Satellites A/B Units construction</t>
  </si>
  <si>
    <t>9,929,745.00</t>
  </si>
  <si>
    <t>63,327.00</t>
  </si>
  <si>
    <t>454,133.00</t>
  </si>
  <si>
    <t>897,406.00</t>
  </si>
  <si>
    <t>COPERNICUS GROUND SEGMENT DATA PROCESSORS RE-ENGINEERING</t>
  </si>
  <si>
    <t>752,757.00</t>
  </si>
  <si>
    <t>COPERNICUS GROUND SEGMENT REFERENCE SYSTEM (RS) SERVICE</t>
  </si>
  <si>
    <t>2,823,665.00</t>
  </si>
  <si>
    <t>131,837.00</t>
  </si>
  <si>
    <t>529,585.00</t>
  </si>
  <si>
    <t>4,770,816.00</t>
  </si>
  <si>
    <t>193,352.00</t>
  </si>
  <si>
    <t>COPERNICUS SPACE COMPONENT - DATA ACCESS (CSC-DA) - VERY HIGH RESOLUTION (VHR) IMAGE 2021</t>
  </si>
  <si>
    <t>22,279,468.00</t>
  </si>
  <si>
    <t>1,773,846.00</t>
  </si>
  <si>
    <t>AIRBUS DS GMBH</t>
  </si>
  <si>
    <t>54,385.00</t>
  </si>
  <si>
    <t>SENTINELS MISSION PLANNING OPERATIONS AND MAINTENANCE</t>
  </si>
  <si>
    <t>281,771.00</t>
  </si>
  <si>
    <t>ALIA SPACE SYSTEMS SRL (B)</t>
  </si>
  <si>
    <t>COPERNICUS COORDINATION DESK</t>
  </si>
  <si>
    <t>149,300.00</t>
  </si>
  <si>
    <t>ALONG-TRACK</t>
  </si>
  <si>
    <t>53,126.00</t>
  </si>
  <si>
    <t>16,212.00</t>
  </si>
  <si>
    <t>203,969.00</t>
  </si>
  <si>
    <t>SENTINEL-1 IPF LEVEL-1 OPERATIONAL MAINTENANCE</t>
  </si>
  <si>
    <t>603,250.00</t>
  </si>
  <si>
    <t>22,940.00</t>
  </si>
  <si>
    <t>37,800.00</t>
  </si>
  <si>
    <t>SENTINEL-1C IN-ORBIT COMMISSIONINING SUPPORT</t>
  </si>
  <si>
    <t>ARGANS LIMITED</t>
  </si>
  <si>
    <t>389,289.00</t>
  </si>
  <si>
    <t>1,232,976.00</t>
  </si>
  <si>
    <t>1,160,220.00</t>
  </si>
  <si>
    <t>ATOS FRANCE</t>
  </si>
  <si>
    <t>1,198,396.90</t>
  </si>
  <si>
    <t>PRODUCTION SERVICE FOR COPERNICUS ATOS INTEGRATION</t>
  </si>
  <si>
    <t>4,561,042.99</t>
  </si>
  <si>
    <t>383,664.00</t>
  </si>
  <si>
    <t>CAP GEMINI ITALIA SPA</t>
  </si>
  <si>
    <t>PRODUCTION SERVICE FOR COPERNICUS</t>
  </si>
  <si>
    <t>7,328,495.99</t>
  </si>
  <si>
    <t>86,445.00</t>
  </si>
  <si>
    <t>136,456.00</t>
  </si>
  <si>
    <t>276,992.00</t>
  </si>
  <si>
    <t>CLOUDFERRO SP Z O.O.</t>
  </si>
  <si>
    <t>2,101,115.00</t>
  </si>
  <si>
    <t>134,822.00</t>
  </si>
  <si>
    <t>198,056.00</t>
  </si>
  <si>
    <t>SENTINEL-1 SAR MISSION PERFORMANCE CLUSTER SERVICE</t>
  </si>
  <si>
    <t>559,661.00</t>
  </si>
  <si>
    <t>SENTINEL-3 CD - IMPROVING SRAL DATA ACQUISITION AND PROCESSING OVER INLAND WATERS AND LAND ICE</t>
  </si>
  <si>
    <t>149,930.00</t>
  </si>
  <si>
    <t>SENTINEL-3 CD - MWR PROCESSING STUDY</t>
  </si>
  <si>
    <t>49,763.00</t>
  </si>
  <si>
    <t>SENTINEL-3 LAND ALTIMETRY MISSION PERFORMANCE CLUSTER SERVICE</t>
  </si>
  <si>
    <t>997,715.00</t>
  </si>
  <si>
    <t>SENTINEL-3 TOPOGRAPHY MISSION ASSESSMENT THROUGH REFERENCE TECHNIQUES (ST3TART)</t>
  </si>
  <si>
    <t>85,000.00</t>
  </si>
  <si>
    <t>CNES (HEADQUARTERS)PARIS DAUMESNIL</t>
  </si>
  <si>
    <t>136,500.00</t>
  </si>
  <si>
    <t>IMPLEMENTATION OF SENTINEL MISSIONS</t>
  </si>
  <si>
    <t>616,721.00</t>
  </si>
  <si>
    <t>335,600.00</t>
  </si>
  <si>
    <t>345,869.00</t>
  </si>
  <si>
    <t>115,000.00</t>
  </si>
  <si>
    <t>CONSIGLIO NAZIONALE DELLE RICERCHE - CNR</t>
  </si>
  <si>
    <t>106,177.00</t>
  </si>
  <si>
    <t>UVN FEE ACTIVITY</t>
  </si>
  <si>
    <t>142,129.00</t>
  </si>
  <si>
    <t>CS COMMUNICATION &amp; SYSTEMS GERMANY</t>
  </si>
  <si>
    <t>COP FOS OPERATIONS</t>
  </si>
  <si>
    <t>103,722.00</t>
  </si>
  <si>
    <t>7,414,684.00</t>
  </si>
  <si>
    <t>1,554,099.00</t>
  </si>
  <si>
    <t>2,003,905.00</t>
  </si>
  <si>
    <t>168,000.00</t>
  </si>
  <si>
    <t>245,891.00</t>
  </si>
  <si>
    <t>166,194.00</t>
  </si>
  <si>
    <t>CS GROUP - ROMANIA S.A</t>
  </si>
  <si>
    <t>612,679.00</t>
  </si>
  <si>
    <t>389,033.00</t>
  </si>
  <si>
    <t>715,628.00</t>
  </si>
  <si>
    <t>DEIMOS ENGINEERING AND SYSTEMS SLU</t>
  </si>
  <si>
    <t>FOS OPERATIONS</t>
  </si>
  <si>
    <t>92,025.00</t>
  </si>
  <si>
    <t>66,000.00</t>
  </si>
  <si>
    <t>96,400.00</t>
  </si>
  <si>
    <t>121,726.00</t>
  </si>
  <si>
    <t>SENTINEL-1 UPGRADE FOR THE COMMISSIONING PHASE CALIBRATION AND PERFORMANCE ANALYSIS FACILITY (CPAF) INFRASTRUCTURE</t>
  </si>
  <si>
    <t>28,700.00</t>
  </si>
  <si>
    <t>77,787.00</t>
  </si>
  <si>
    <t>1,266,622.01</t>
  </si>
  <si>
    <t>149,912.00</t>
  </si>
  <si>
    <t>59,047.00</t>
  </si>
  <si>
    <t>SENTINEL-1C INDEPENDENT IN-ORBIT CALIBRATION</t>
  </si>
  <si>
    <t>1,159,949.00</t>
  </si>
  <si>
    <t>SENTINEL-1C IN-ORBIT SAR SYSTEM VERIFICATION</t>
  </si>
  <si>
    <t>109,972.00</t>
  </si>
  <si>
    <t>299,971.00</t>
  </si>
  <si>
    <t>SENTINEL-5 PRECURSOR PAYLOAD DATA GROUND SEGMENT</t>
  </si>
  <si>
    <t>65,035.99</t>
  </si>
  <si>
    <t>EARSC - EUROPEAN ASSOCIATION OF REMOTE SENSING COMPANIES</t>
  </si>
  <si>
    <t>SHOWCASING THE BENEFITS BROUGHT BY THE USAGE OF SENTINELS DATA TO SOCIETY, ENVIRONMENT AND ECONOMY</t>
  </si>
  <si>
    <t>199,885.00</t>
  </si>
  <si>
    <t>ACQUISITION AND TTC SERVICES FOR COPERNICUS</t>
  </si>
  <si>
    <t>1,781,368.20</t>
  </si>
  <si>
    <t>68,282.00</t>
  </si>
  <si>
    <t>203,619.00</t>
  </si>
  <si>
    <t>EVERSIS SP. Z O.O.</t>
  </si>
  <si>
    <t>144,000.00</t>
  </si>
  <si>
    <t>399,450.00</t>
  </si>
  <si>
    <t>540,000.00</t>
  </si>
  <si>
    <t>271,669.00</t>
  </si>
  <si>
    <t>49,546.00</t>
  </si>
  <si>
    <t>SENTINEL-3 LAND PAYLOAD DATA GROUND SEGMENT SYSTEM OPERATIONS, MAINTENANCE AND EVOLUTIONS</t>
  </si>
  <si>
    <t>193,829.00</t>
  </si>
  <si>
    <t>35,000.00</t>
  </si>
  <si>
    <t>105,000.00</t>
  </si>
  <si>
    <t>2,311,606.00</t>
  </si>
  <si>
    <t>GEOSAT SATELITES, S.L.U.</t>
  </si>
  <si>
    <t>557,193.00</t>
  </si>
  <si>
    <t>COPERNICUS SENTINELS PRECISE ORBIT DETERMINATION SERVICE (POD SERVICE)</t>
  </si>
  <si>
    <t>1,358,190.00</t>
  </si>
  <si>
    <t>348,646.00</t>
  </si>
  <si>
    <t>39,000.00</t>
  </si>
  <si>
    <t>1,055,587.00</t>
  </si>
  <si>
    <t>COPERNICUS FOS SOFTWARE SYSTEMS MAINTENANCE AND EVOLUTION</t>
  </si>
  <si>
    <t>149,200.00</t>
  </si>
  <si>
    <t>TEST FACILITIES</t>
  </si>
  <si>
    <t>165,481.00</t>
  </si>
  <si>
    <t>ICEYE OY</t>
  </si>
  <si>
    <t>COPERNICUS CONTRIBUTING MISSIONS (CCMS) - EO DATA PROVISIONING FOR COPERNICUS PROGRAMME</t>
  </si>
  <si>
    <t>788,880.00</t>
  </si>
  <si>
    <t>ICEYE Polska Sp. z o.o.</t>
  </si>
  <si>
    <t>160,380.00</t>
  </si>
  <si>
    <t>IEEC - Institut d'Estudis Espacials de Catalunya</t>
  </si>
  <si>
    <t>SENTINEL-3 CD - TOPOGRAHY AND GNSS REFLECTOMETRY FOR DATA PROCESSING OVER SEA ICE</t>
  </si>
  <si>
    <t>36,312.45</t>
  </si>
  <si>
    <t>INSTITUT NATIONAL DE L'INFORMATIONGÉOGRAPHIQUE ET FORESTIÈRE (IGN)</t>
  </si>
  <si>
    <t>115,100.00</t>
  </si>
  <si>
    <t>Instituto Português do Mar e da Atmosfera, I.P.</t>
  </si>
  <si>
    <t>EVALUATION AND VALIDATION OF SENTINEL-3 ACTIVE FIRE DETECTION AND FRP PRODUCTS</t>
  </si>
  <si>
    <t>20,447.00</t>
  </si>
  <si>
    <t>INTECS SOLUTIONS SPA</t>
  </si>
  <si>
    <t>250,420.00</t>
  </si>
  <si>
    <t>436,724.00</t>
  </si>
  <si>
    <t>279,553.00</t>
  </si>
  <si>
    <t>COPERNICUS ATM MISSION PERFORMANCE CLUSTER SERVICE</t>
  </si>
  <si>
    <t>842,149.00</t>
  </si>
  <si>
    <t>137,913.00</t>
  </si>
  <si>
    <t>X-BAND ACQUISITION SERVICES FOR COPERNICUS</t>
  </si>
  <si>
    <t>17,519.00</t>
  </si>
  <si>
    <t>1,247,984.00</t>
  </si>
  <si>
    <t>102,140.00</t>
  </si>
  <si>
    <t>KIRUNA TTC MAINTENANCE AND OPERATIONS SERVICES FOR COPERNICUS</t>
  </si>
  <si>
    <t>22,455.00</t>
  </si>
  <si>
    <t>99,999.00</t>
  </si>
  <si>
    <t>MC3 Limited</t>
  </si>
  <si>
    <t>162,592.00</t>
  </si>
  <si>
    <t>MDA Geospatial Services Inc.</t>
  </si>
  <si>
    <t>MDA - COPERNICUS SPACE COMPONENT DATA ACCESS (CSC DA) DATA WAREHOUSE</t>
  </si>
  <si>
    <t>830,778.00</t>
  </si>
  <si>
    <t>NEREUS/ESA/EC PUBLICATION</t>
  </si>
  <si>
    <t>27,304.00</t>
  </si>
  <si>
    <t>NILU - NORWEGIAN INSTITUTE FOR AIR RESEARCH</t>
  </si>
  <si>
    <t>19,859.00</t>
  </si>
  <si>
    <t>NORCE Norwegian Research Centre AS</t>
  </si>
  <si>
    <t>SENTINEL-1C IN-ORBIT SAR CROSS-CALIBRATION</t>
  </si>
  <si>
    <t>110,000.00</t>
  </si>
  <si>
    <t>NORWEGIAN POLAR INSTITUTE</t>
  </si>
  <si>
    <t>264,201.00</t>
  </si>
  <si>
    <t>432,500.00</t>
  </si>
  <si>
    <t>Ocean Next</t>
  </si>
  <si>
    <t>ONERA. Office National d'Etudes et Recherches Aérospatiales</t>
  </si>
  <si>
    <t>37,258.00</t>
  </si>
  <si>
    <t>OPTICS BALZERS JENA GMBH</t>
  </si>
  <si>
    <t>CO2M SPECTRAL FILTERS</t>
  </si>
  <si>
    <t>63,248.00</t>
  </si>
  <si>
    <t>ORANGE SA FRANCE TELECOM</t>
  </si>
  <si>
    <t>950,000.00</t>
  </si>
  <si>
    <t>SENTINEL-1C IN-ORBIT SAR INTERFEROMETRIC CALIBRATION</t>
  </si>
  <si>
    <t>879,368.80</t>
  </si>
  <si>
    <t>959,198.00</t>
  </si>
  <si>
    <t>726,543.00</t>
  </si>
  <si>
    <t>180,975.00</t>
  </si>
  <si>
    <t>531,375.00</t>
  </si>
  <si>
    <t>43,981.00</t>
  </si>
  <si>
    <t>102,346.00</t>
  </si>
  <si>
    <t>SATT CONECTUS ALSACE</t>
  </si>
  <si>
    <t>234,751.00</t>
  </si>
  <si>
    <t>43,928.00</t>
  </si>
  <si>
    <t>208,750.00</t>
  </si>
  <si>
    <t>2,163,742.75</t>
  </si>
  <si>
    <t>48,561.00</t>
  </si>
  <si>
    <t>DATA ACCESS SERVICE LEGACY CONTINUITY</t>
  </si>
  <si>
    <t>12,422,223.00</t>
  </si>
  <si>
    <t>389,853.00</t>
  </si>
  <si>
    <t>5,188,187.99</t>
  </si>
  <si>
    <t>238,463.00</t>
  </si>
  <si>
    <t>54,608.00</t>
  </si>
  <si>
    <t>SERCO S.A.S</t>
  </si>
  <si>
    <t>806,545.00</t>
  </si>
  <si>
    <t>SUPPORT OF COP FOS OPERATIONS</t>
  </si>
  <si>
    <t>824,915.00</t>
  </si>
  <si>
    <t>SINERGISE LTD.</t>
  </si>
  <si>
    <t>SL</t>
  </si>
  <si>
    <t>95,121.24</t>
  </si>
  <si>
    <t>SPACEBEL S.A.</t>
  </si>
  <si>
    <t>24,300.00</t>
  </si>
  <si>
    <t>33,900.00</t>
  </si>
  <si>
    <t>828,266.00</t>
  </si>
  <si>
    <t>4,164,284.00</t>
  </si>
  <si>
    <t>258,214.00</t>
  </si>
  <si>
    <t>TAITUS SOFTWARE</t>
  </si>
  <si>
    <t>85,200.00</t>
  </si>
  <si>
    <t>TECHNICAL UNIVERSITY OF DENMARK - DTU</t>
  </si>
  <si>
    <t>241,000.00</t>
  </si>
  <si>
    <t>1,105,062.00</t>
  </si>
  <si>
    <t>539,280.00</t>
  </si>
  <si>
    <t>204,965.00</t>
  </si>
  <si>
    <t>566,259.00</t>
  </si>
  <si>
    <t>75,032.00</t>
  </si>
  <si>
    <t>226,275.00</t>
  </si>
  <si>
    <t>1,840,176.00</t>
  </si>
  <si>
    <t>COPERNICUS SPACE COMPONENT RESOURCES, DATAFLOWS, PERFORMANCE MODELLING</t>
  </si>
  <si>
    <t>117,944.00</t>
  </si>
  <si>
    <t>2,020,807.00</t>
  </si>
  <si>
    <t>226,953.00</t>
  </si>
  <si>
    <t>101,562.00</t>
  </si>
  <si>
    <t>TERRADUE SRL</t>
  </si>
  <si>
    <t>79,388.00</t>
  </si>
  <si>
    <t>649,733.00</t>
  </si>
  <si>
    <t>1,103,725.00</t>
  </si>
  <si>
    <t>145,593.59</t>
  </si>
  <si>
    <t>158,483.00</t>
  </si>
  <si>
    <t>1,559,822.00</t>
  </si>
  <si>
    <t>796,519.44</t>
  </si>
  <si>
    <t>5,933,122.00</t>
  </si>
  <si>
    <t>15,109,620.00</t>
  </si>
  <si>
    <t>THALES ALENIA SPACE UK LIMITED</t>
  </si>
  <si>
    <t>CO2M CAL SERVICES</t>
  </si>
  <si>
    <t>663,855.00</t>
  </si>
  <si>
    <t>570,527.00</t>
  </si>
  <si>
    <t>32,500.00</t>
  </si>
  <si>
    <t>174,318.00</t>
  </si>
  <si>
    <t>987,448.02</t>
  </si>
  <si>
    <t>UGA - Université Grenoble Alpes</t>
  </si>
  <si>
    <t>UK Research and Innovation</t>
  </si>
  <si>
    <t>26,647.00</t>
  </si>
  <si>
    <t>UNIV STUTTGART</t>
  </si>
  <si>
    <t>22,500.00</t>
  </si>
  <si>
    <t>31,577.00</t>
  </si>
  <si>
    <t>UNIVERSITY OF ZURICH - UZH</t>
  </si>
  <si>
    <t>SENTINEL-1C IN-ORBIT SAR GEOMETRIC CALIBRATION</t>
  </si>
  <si>
    <t>109,995.00</t>
  </si>
  <si>
    <t>vorteX.io</t>
  </si>
  <si>
    <t>420,000.00</t>
  </si>
  <si>
    <t>233,203.00</t>
  </si>
  <si>
    <t>33,446.00</t>
  </si>
  <si>
    <t>225,252.00</t>
  </si>
  <si>
    <t>17,892.00</t>
  </si>
  <si>
    <t>XENICS</t>
  </si>
  <si>
    <t>CO2M SWIR DETECTOR</t>
  </si>
  <si>
    <t>AIRBUS DS GEO GMBH</t>
  </si>
  <si>
    <t>1,421,995.00</t>
  </si>
  <si>
    <t>1,838,839.00</t>
  </si>
  <si>
    <t>29,656,800.00</t>
  </si>
  <si>
    <t>15,278,496.00</t>
  </si>
  <si>
    <t>X BAND ACQUISITION TT-C SERVICES FOR COPERNICUS</t>
  </si>
  <si>
    <t>965,111.16</t>
  </si>
  <si>
    <t>18,833.00</t>
  </si>
  <si>
    <t>1,969,900.00</t>
  </si>
  <si>
    <t>2,543,755.00</t>
  </si>
  <si>
    <t>209,810.00</t>
  </si>
  <si>
    <t>1,094,000.00</t>
  </si>
  <si>
    <t>990,061.78</t>
  </si>
  <si>
    <t>3,849,938.22</t>
  </si>
  <si>
    <t>HISDESAT SERVICIOS ESTRATEGICOS S.A</t>
  </si>
  <si>
    <t>926,112.00</t>
  </si>
  <si>
    <t>X-BAND ACQUIS SERVICES FOR COPERNICUS</t>
  </si>
  <si>
    <t>2,678,342.00</t>
  </si>
  <si>
    <t>16,915,782.18</t>
  </si>
  <si>
    <t>1,285,753.00</t>
  </si>
  <si>
    <t>4,662,966.41</t>
  </si>
  <si>
    <t>31,291,069.59</t>
  </si>
  <si>
    <t>940,065.00</t>
  </si>
  <si>
    <t>KIRUNA TTC MAINTENANCE AND OPERATIONS SERVICES</t>
  </si>
  <si>
    <t>7,260,398.00</t>
  </si>
  <si>
    <t>3,492,063.00</t>
  </si>
  <si>
    <t>Contract value
on Copernicus
2022 (€)</t>
  </si>
  <si>
    <t>ABSOLUT-SYSTEM</t>
  </si>
  <si>
    <t>Development of CO2M Spacecraft</t>
  </si>
  <si>
    <t>106,272.00</t>
  </si>
  <si>
    <t>Development of LSTM Spacecraft</t>
  </si>
  <si>
    <t>117,527.00</t>
  </si>
  <si>
    <t>Development of CHIME Spacecraft</t>
  </si>
  <si>
    <t>220,757.00</t>
  </si>
  <si>
    <t>1,153,954.00</t>
  </si>
  <si>
    <t>COPERNICUS LTA SERVICE FOR SENTINEL-1, 2, 3</t>
  </si>
  <si>
    <t>1,639,667.00</t>
  </si>
  <si>
    <t>COPERNICUS SPACE COMPONENTS - COMPETITIVE FRAME CONTRACTS - ESA GROUND SEGMENT OPERATIONS FRAMEWORK PRODUCTION SERVICE</t>
  </si>
  <si>
    <t>3,749,508.00</t>
  </si>
  <si>
    <t>28,993,513.00</t>
  </si>
  <si>
    <t>ACTIVE SPACE TECHNOLOGIES SA</t>
  </si>
  <si>
    <t>Development of CIMR Spacecraft</t>
  </si>
  <si>
    <t>1,426,002.00</t>
  </si>
  <si>
    <t>214,960.00</t>
  </si>
  <si>
    <t>301,551.00</t>
  </si>
  <si>
    <t>184,421.00</t>
  </si>
  <si>
    <t>4,168,552.00</t>
  </si>
  <si>
    <t>AIR LIQUIDE ADVANCED TECHNOLOGIES</t>
  </si>
  <si>
    <t>3,424,074.00</t>
  </si>
  <si>
    <t>AIRBORNE AEROSPACE B.V.</t>
  </si>
  <si>
    <t>900,853.00</t>
  </si>
  <si>
    <t>S6A/B</t>
  </si>
  <si>
    <t>1,776,948.00</t>
  </si>
  <si>
    <t>S1C/D</t>
  </si>
  <si>
    <t>107,401.00</t>
  </si>
  <si>
    <t>SENTINEL-2 CD MODELS - PLATFORM AND SYSTEM ACTIVITIES</t>
  </si>
  <si>
    <t>4,011,104.00</t>
  </si>
  <si>
    <t>648,661.00</t>
  </si>
  <si>
    <t>AIRBUS DEFENCE &amp; SPACE SAS</t>
  </si>
  <si>
    <t>1,874,406.00</t>
  </si>
  <si>
    <t>8,432,517.00</t>
  </si>
  <si>
    <t>Development of CRISTAL Spacecraft</t>
  </si>
  <si>
    <t>42,415,344.00</t>
  </si>
  <si>
    <t>8,598,049.00</t>
  </si>
  <si>
    <t>Development of ROSE-L Spacecraft</t>
  </si>
  <si>
    <t>52,127,281.00</t>
  </si>
  <si>
    <t>SENTINEL-6 IN-ORBIT OPERATIONS</t>
  </si>
  <si>
    <t>3,231,204.00</t>
  </si>
  <si>
    <t>600,000.00</t>
  </si>
  <si>
    <t>S6A/B - MPPS</t>
  </si>
  <si>
    <t>80,093.00</t>
  </si>
  <si>
    <t>573,689.00</t>
  </si>
  <si>
    <t>AIRBUS DEFENCE AND SPACE S.A.U.</t>
  </si>
  <si>
    <t>45,072,059.00</t>
  </si>
  <si>
    <t>2,714,000.00</t>
  </si>
  <si>
    <t>5,065,000.00</t>
  </si>
  <si>
    <t>2,463,835.00</t>
  </si>
  <si>
    <t>22,810,030.00</t>
  </si>
  <si>
    <t>3,160,000.00</t>
  </si>
  <si>
    <t>COPERNICUS SPACE COMPONENT - SENTINEL-1 PAYLOAD DATA GROUND SEGMENT SYSTEM OPERATIONS, MAINTENANCE AND EVOLUTIONS</t>
  </si>
  <si>
    <t>590,720.00</t>
  </si>
  <si>
    <t>397,397.00</t>
  </si>
  <si>
    <t>1,091,250.00</t>
  </si>
  <si>
    <t>1,183,097.00</t>
  </si>
  <si>
    <t>8,000,000.00</t>
  </si>
  <si>
    <t>AIRBUS NETHERLANDS B.V.</t>
  </si>
  <si>
    <t>2,788,690.00</t>
  </si>
  <si>
    <t>5,863,677.00</t>
  </si>
  <si>
    <t>2,157,186.00</t>
  </si>
  <si>
    <t>AIRWORKS SRL</t>
  </si>
  <si>
    <t>1,070,000.00</t>
  </si>
  <si>
    <t>ALTER TECHNOLOGY TUV NORD S.A.U.</t>
  </si>
  <si>
    <t>4,765,040.00</t>
  </si>
  <si>
    <t>ALTRAN TECHNOLOGIES SA</t>
  </si>
  <si>
    <t>501,138.00</t>
  </si>
  <si>
    <t>AMOS, ADVANCED MECHANICAL AND OPTICSYSTEMS</t>
  </si>
  <si>
    <t>13,193,797.00</t>
  </si>
  <si>
    <t>326,253.00</t>
  </si>
  <si>
    <t>1,318,678.00</t>
  </si>
  <si>
    <t>6,726,540.00</t>
  </si>
  <si>
    <t>203,257.00</t>
  </si>
  <si>
    <t>6,480,716.00</t>
  </si>
  <si>
    <t>6,741,186.00</t>
  </si>
  <si>
    <t>1,194,710.00</t>
  </si>
  <si>
    <t>ARIANEGROUP SAS</t>
  </si>
  <si>
    <t>36,000.00</t>
  </si>
  <si>
    <t>COPERNICUS SENTINEL-1C</t>
  </si>
  <si>
    <t>48,620,000.00</t>
  </si>
  <si>
    <t>COPERNICUS LAUNCH SERVICES VEGA C</t>
  </si>
  <si>
    <t>232,000,000.00</t>
  </si>
  <si>
    <t>ARQUIMEA AEROSPACE, DEFENCE &amp; SECURITY, S.L.U.</t>
  </si>
  <si>
    <t>323,128.00</t>
  </si>
  <si>
    <t>ASP GMBH</t>
  </si>
  <si>
    <t>2,846,500.00</t>
  </si>
  <si>
    <t>ASTOS SOLUTIONS GMBH</t>
  </si>
  <si>
    <t>262,740.00</t>
  </si>
  <si>
    <t>ASTRO UND FEINWERKTECHNIK GMBH</t>
  </si>
  <si>
    <t>1,411,071.00</t>
  </si>
  <si>
    <t>1,393,654.00</t>
  </si>
  <si>
    <t>FRAME CONTRACT</t>
  </si>
  <si>
    <t>7,525,790.00</t>
  </si>
  <si>
    <t>806,521.00</t>
  </si>
  <si>
    <t>483,376.00</t>
  </si>
  <si>
    <t>AVS ADDED VALUE INDUSTRIAL ENGINEER</t>
  </si>
  <si>
    <t>2,287,584.00</t>
  </si>
  <si>
    <t>BD SENSORS S.R.O.</t>
  </si>
  <si>
    <t>97,620.00</t>
  </si>
  <si>
    <t>88,752.00</t>
  </si>
  <si>
    <t>BERTIN TECHNOLOGIES</t>
  </si>
  <si>
    <t>375,000.00</t>
  </si>
  <si>
    <t>Beyond Gravity Austria GmbH</t>
  </si>
  <si>
    <t>1,378,050.00</t>
  </si>
  <si>
    <t>834,728.00</t>
  </si>
  <si>
    <t>1,712,300.00</t>
  </si>
  <si>
    <t>2,281,200.00</t>
  </si>
  <si>
    <t>1,286,250.00</t>
  </si>
  <si>
    <t>47,163.00</t>
  </si>
  <si>
    <t>262,393.00</t>
  </si>
  <si>
    <t>BEYOND GRAVITY FINLAND OY</t>
  </si>
  <si>
    <t>1,130,850.00</t>
  </si>
  <si>
    <t>1,224,300.00</t>
  </si>
  <si>
    <t>Beyond Gravity Germany GmbH</t>
  </si>
  <si>
    <t>2,457,342.00</t>
  </si>
  <si>
    <t>290,000.00</t>
  </si>
  <si>
    <t>1,168,500.00</t>
  </si>
  <si>
    <t>1,376,000.00</t>
  </si>
  <si>
    <t>2,061,900.00</t>
  </si>
  <si>
    <t>2,020,300.00</t>
  </si>
  <si>
    <t>342,267.00</t>
  </si>
  <si>
    <t>BRADFORD ENGINEERING B.V.</t>
  </si>
  <si>
    <t>45,911.00</t>
  </si>
  <si>
    <t>116,239.00</t>
  </si>
  <si>
    <t>28,990.00</t>
  </si>
  <si>
    <t>164,554.00</t>
  </si>
  <si>
    <t>53,563.00</t>
  </si>
  <si>
    <t>FRAME CONTRACT PRODUCTION SERVICE FOR COPERNICUS</t>
  </si>
  <si>
    <t>10,367,342.00</t>
  </si>
  <si>
    <t>CELESTIA SATELLITE TEST AND SIMULATION</t>
  </si>
  <si>
    <t>84,560.00</t>
  </si>
  <si>
    <t>627,819.00</t>
  </si>
  <si>
    <t>CIRETEC</t>
  </si>
  <si>
    <t>155,746.00</t>
  </si>
  <si>
    <t>COPERNICUS SPACE COMPONENTS - COMPETITIVE FRAME CONTRACTS - LONG TERM ARCHIVE SERVICE FOR COPERNICUS</t>
  </si>
  <si>
    <t>754,554.00</t>
  </si>
  <si>
    <t>COPERNICUS SPACE COMPONENT - SENTINEL-1 SAR MISSION PERFORMANCE CLUSTER SERVICE</t>
  </si>
  <si>
    <t>12,164,516.00</t>
  </si>
  <si>
    <t>COPERNICUS SPACE COMPONENT - SENTINEL-3 LAND ALTIMETRY MISSION PERFORMANCE CLUSTER SERVICE</t>
  </si>
  <si>
    <t>7,051,176.00</t>
  </si>
  <si>
    <t>COOPERATION AGREEMENT: ESA AND CNES FOR THE IMPLEMENTATION OF SENTINEL MISSIONS</t>
  </si>
  <si>
    <t>1,704,337.00</t>
  </si>
  <si>
    <t>COMAT</t>
  </si>
  <si>
    <t>143,860.00</t>
  </si>
  <si>
    <t>1,045,137.00</t>
  </si>
  <si>
    <t>118,250.00</t>
  </si>
  <si>
    <t>4,773,456.00</t>
  </si>
  <si>
    <t>3,563,510.00</t>
  </si>
  <si>
    <t>5,475,546.00</t>
  </si>
  <si>
    <t>P¨T</t>
  </si>
  <si>
    <t>251,801.00</t>
  </si>
  <si>
    <t>195,000.00</t>
  </si>
  <si>
    <t>COPERNICUS - REPROCESSING REFERENCE PACKAGE PREPARATION</t>
  </si>
  <si>
    <t>143,732.00</t>
  </si>
  <si>
    <t>3,322,331.00</t>
  </si>
  <si>
    <t>3,056,481.00</t>
  </si>
  <si>
    <t>DEIMOS ENGENHARIA S.A.</t>
  </si>
  <si>
    <t>162,717.00</t>
  </si>
  <si>
    <t>554,700.00</t>
  </si>
  <si>
    <t>SENTINEL-1 UPGRADE FOR THE COMMISSIONING PHASE CALIBRATION AND PERFORMANCE ANALYSIS FACILITY (CPAF)</t>
  </si>
  <si>
    <t>127,000.00</t>
  </si>
  <si>
    <t>DEIMOS SPACE SRL</t>
  </si>
  <si>
    <t>25,200.00</t>
  </si>
  <si>
    <t>3,866,422.00</t>
  </si>
  <si>
    <t>2,500,000.00</t>
  </si>
  <si>
    <t>394,658.00</t>
  </si>
  <si>
    <t>19,051.00</t>
  </si>
  <si>
    <t>DSI Aerospace Technologie GmbH</t>
  </si>
  <si>
    <t>6,126,000.00</t>
  </si>
  <si>
    <t>3,108,324.00</t>
  </si>
  <si>
    <t>932,595.00</t>
  </si>
  <si>
    <t>4,529,612.00</t>
  </si>
  <si>
    <t>3,394,716.00</t>
  </si>
  <si>
    <t>E.I.S. ELECTRONICS GMBH</t>
  </si>
  <si>
    <t>1,034,918.00</t>
  </si>
  <si>
    <t>1,202,274.00</t>
  </si>
  <si>
    <t>2,126,256.00</t>
  </si>
  <si>
    <t>EMTECH SPACE P.C.</t>
  </si>
  <si>
    <t>187,289.00</t>
  </si>
  <si>
    <t>EREMS</t>
  </si>
  <si>
    <t>1,852,008.00</t>
  </si>
  <si>
    <t>ETAMAX SPACE GMBH</t>
  </si>
  <si>
    <t>19,995.00</t>
  </si>
  <si>
    <t>EURO HEAT PIPES SA</t>
  </si>
  <si>
    <t>69,650.00</t>
  </si>
  <si>
    <t>5,551,448.00</t>
  </si>
  <si>
    <t>EUROPEAN TEST SERVICES (ETS) B.V.</t>
  </si>
  <si>
    <t>3,574,908.00</t>
  </si>
  <si>
    <t>440,392.00</t>
  </si>
  <si>
    <t>EVERCARE EIG</t>
  </si>
  <si>
    <t>169,683.00</t>
  </si>
  <si>
    <t>EXPRIVIA S.p.A.</t>
  </si>
  <si>
    <t>1,215,531.00</t>
  </si>
  <si>
    <t>FHP - FREZITE HIGH PERFORMANCE UNIPESSOAL LDA</t>
  </si>
  <si>
    <t>351,000.00</t>
  </si>
  <si>
    <t>1,250,297.00</t>
  </si>
  <si>
    <t>404,053.00</t>
  </si>
  <si>
    <t>FRAUNHOFER GESELLSCHAFT</t>
  </si>
  <si>
    <t>4,533,747.00</t>
  </si>
  <si>
    <t>FRENTECH AEROSPACE S.R.O.</t>
  </si>
  <si>
    <t>160,151.00</t>
  </si>
  <si>
    <t>190,014.00</t>
  </si>
  <si>
    <t>G.L.ELECTRONIC S.R.O.</t>
  </si>
  <si>
    <t>865,886.00</t>
  </si>
  <si>
    <t>940,402.00</t>
  </si>
  <si>
    <t>262,280.00</t>
  </si>
  <si>
    <t>THIRD GENERATION OF THE COPERNICUS PRECISE ORBITDETERMINATION (CPOD) SERVICE</t>
  </si>
  <si>
    <t>8,673,428.00</t>
  </si>
  <si>
    <t>GMV INNOVATING SOLUTIONS SP. Z O.O.</t>
  </si>
  <si>
    <t>GTT Communications GmbH</t>
  </si>
  <si>
    <t>PRISM SECURITY SERVICES</t>
  </si>
  <si>
    <t>87,365.00</t>
  </si>
  <si>
    <t>HEMERIA</t>
  </si>
  <si>
    <t>940,165.00</t>
  </si>
  <si>
    <t>2,654,018.00</t>
  </si>
  <si>
    <t>HIGHFTECH ENGINEERING SRL</t>
  </si>
  <si>
    <t>130,688.00</t>
  </si>
  <si>
    <t>100,285.00</t>
  </si>
  <si>
    <t>54,500.00</t>
  </si>
  <si>
    <t>HORIBA France S.A.S.</t>
  </si>
  <si>
    <t>278,034.00</t>
  </si>
  <si>
    <t>HPS GMBH. HIGH PERFORMANCE SPACE STRUCTURE SYSTEMS GMBH</t>
  </si>
  <si>
    <t>19,103,054.00</t>
  </si>
  <si>
    <t>HPS. HIGH PERFORMANCE STRUCTURES INOVATIE SI DEZVOLTARE S.R.L.</t>
  </si>
  <si>
    <t>288,623.00</t>
  </si>
  <si>
    <t>1,052,600.00</t>
  </si>
  <si>
    <t>165,047.00</t>
  </si>
  <si>
    <t>159,457.00</t>
  </si>
  <si>
    <t>HPtex High Performance Textiles GmbH</t>
  </si>
  <si>
    <t>521,492.00</t>
  </si>
  <si>
    <t>117,000.00</t>
  </si>
  <si>
    <t>I.D.S. INGEGNERIA DEI SISTEMI S.P.A.</t>
  </si>
  <si>
    <t>107,400.00</t>
  </si>
  <si>
    <t>148,200.00</t>
  </si>
  <si>
    <t>3,335,000.00</t>
  </si>
  <si>
    <t>S6A/B-TEST FACILITIES</t>
  </si>
  <si>
    <t>46,600.00</t>
  </si>
  <si>
    <t>IBERESPACIO</t>
  </si>
  <si>
    <t>1,280,744.00</t>
  </si>
  <si>
    <t>1,214,939.00</t>
  </si>
  <si>
    <t>787,921.00</t>
  </si>
  <si>
    <t>INASCO HELLAS EE</t>
  </si>
  <si>
    <t>619,544.00</t>
  </si>
  <si>
    <t>INEGI</t>
  </si>
  <si>
    <t>673,707.00</t>
  </si>
  <si>
    <t>INGENIARS S.R.L.</t>
  </si>
  <si>
    <t>INNALABS LIMITED</t>
  </si>
  <si>
    <t>973,085.00</t>
  </si>
  <si>
    <t>58,244.00</t>
  </si>
  <si>
    <t>INTELLIGENTIA SRL</t>
  </si>
  <si>
    <t>43,276.00</t>
  </si>
  <si>
    <t>INVENT GMBH</t>
  </si>
  <si>
    <t>4,314,948.00</t>
  </si>
  <si>
    <t>858,624.00</t>
  </si>
  <si>
    <t>1,254,312.00</t>
  </si>
  <si>
    <t>3,938,000.00</t>
  </si>
  <si>
    <t>ISARDSAT S.L.</t>
  </si>
  <si>
    <t>447,419.00</t>
  </si>
  <si>
    <t>ISTITUTO NAZIONALE FISICA NUCLEARE (INFN)</t>
  </si>
  <si>
    <t>164,995.00</t>
  </si>
  <si>
    <t>SENTINEL-3 CD MODELS</t>
  </si>
  <si>
    <t>65,964.00</t>
  </si>
  <si>
    <t>41,918.00</t>
  </si>
  <si>
    <t>229,111.00</t>
  </si>
  <si>
    <t>9,862,196.00</t>
  </si>
  <si>
    <t>KONGSBERG DEFENCE AND AEROSPACE AS</t>
  </si>
  <si>
    <t>2,012,912.00</t>
  </si>
  <si>
    <t>3,422,964.00</t>
  </si>
  <si>
    <t>4,272,058.00</t>
  </si>
  <si>
    <t>2,395,325.52</t>
  </si>
  <si>
    <t>LARGE SPACE STRUCTURES GmbH</t>
  </si>
  <si>
    <t>39,042,036.00</t>
  </si>
  <si>
    <t>1,382,408.00</t>
  </si>
  <si>
    <t>618,854.00</t>
  </si>
  <si>
    <t>22,176,769.00</t>
  </si>
  <si>
    <t>753,014.00</t>
  </si>
  <si>
    <t>958,375.00</t>
  </si>
  <si>
    <t>644,000.00</t>
  </si>
  <si>
    <t>628,901.00</t>
  </si>
  <si>
    <t>PANDONIA OPERATIONS</t>
  </si>
  <si>
    <t>Luma Metall AB</t>
  </si>
  <si>
    <t>301,182.00</t>
  </si>
  <si>
    <t>LUXSPACE SARL</t>
  </si>
  <si>
    <t>373,486.00</t>
  </si>
  <si>
    <t>LYNRED</t>
  </si>
  <si>
    <t>2,127,098.00</t>
  </si>
  <si>
    <t>1,293,831.00</t>
  </si>
  <si>
    <t>MAGELLIUM</t>
  </si>
  <si>
    <t>648,669.00</t>
  </si>
  <si>
    <t>3,002,482.00</t>
  </si>
  <si>
    <t>MECANO ID</t>
  </si>
  <si>
    <t>156,640.00</t>
  </si>
  <si>
    <t>MEDIA LARIO SRL</t>
  </si>
  <si>
    <t>286,700.00</t>
  </si>
  <si>
    <t>MERSEN BOOSTEC</t>
  </si>
  <si>
    <t>1,823,975.00</t>
  </si>
  <si>
    <t>MICROTEC SAS</t>
  </si>
  <si>
    <t>178,646.00</t>
  </si>
  <si>
    <t>MOOG INC.SPACE PRODUCT DIV.</t>
  </si>
  <si>
    <t>985,627.00</t>
  </si>
  <si>
    <t>890,629.00</t>
  </si>
  <si>
    <t>404,126.00</t>
  </si>
  <si>
    <t>407,927.00</t>
  </si>
  <si>
    <t>OHB Czechspace s.r.o.</t>
  </si>
  <si>
    <t>210,000.00</t>
  </si>
  <si>
    <t>OHB Hellas</t>
  </si>
  <si>
    <t>172,436.00</t>
  </si>
  <si>
    <t>OHB Italia S.p.A.</t>
  </si>
  <si>
    <t>16,256,610.00</t>
  </si>
  <si>
    <t>OHB SWEDEN AB</t>
  </si>
  <si>
    <t>4,399,723.00</t>
  </si>
  <si>
    <t>1,084,754.00</t>
  </si>
  <si>
    <t>5,766,414.00</t>
  </si>
  <si>
    <t>55,057,534.00</t>
  </si>
  <si>
    <t>80,539,233.00</t>
  </si>
  <si>
    <t>OIP NV</t>
  </si>
  <si>
    <t>13,504,356.00</t>
  </si>
  <si>
    <t>OMNIDEA-RTG GMBH</t>
  </si>
  <si>
    <t>112,360.00</t>
  </si>
  <si>
    <t>OPTEC SPA</t>
  </si>
  <si>
    <t>425,400.00</t>
  </si>
  <si>
    <t>96,500.00</t>
  </si>
  <si>
    <t>1,137,045.00</t>
  </si>
  <si>
    <t>PIAP SPACE SP ZOO</t>
  </si>
  <si>
    <t>612,382.00</t>
  </si>
  <si>
    <t>QSIL INGENIEURKERAMIK GMBH</t>
  </si>
  <si>
    <t>247,995.00</t>
  </si>
  <si>
    <t>Rayference SRL</t>
  </si>
  <si>
    <t>1,533,300.00</t>
  </si>
  <si>
    <t>576,444.00</t>
  </si>
  <si>
    <t>INTEGRATOR SERVICE FOR THE COPERNICUS CONTRIBUTING MISSION ACTIVITY AND MISSION PERFORMANCE CLUSTERS</t>
  </si>
  <si>
    <t>1,660,810.64</t>
  </si>
  <si>
    <t>2,732,868.36</t>
  </si>
  <si>
    <t>1,946,548.00</t>
  </si>
  <si>
    <t>872,243.00</t>
  </si>
  <si>
    <t>1,514,888.00</t>
  </si>
  <si>
    <t>1,514,889.00</t>
  </si>
  <si>
    <t>ROVSING A/S</t>
  </si>
  <si>
    <t>S.A.B. AEROSPACE S.R.L.</t>
  </si>
  <si>
    <t>2,100,789.00</t>
  </si>
  <si>
    <t>S.A.B. AEROSPACE S.R.O.</t>
  </si>
  <si>
    <t>3,564,850.00</t>
  </si>
  <si>
    <t>Safran Reosc</t>
  </si>
  <si>
    <t>1,782,000.00</t>
  </si>
  <si>
    <t>SAFT S.A.S</t>
  </si>
  <si>
    <t>441,321.00</t>
  </si>
  <si>
    <t>959,166.00</t>
  </si>
  <si>
    <t>1,003,064.00</t>
  </si>
  <si>
    <t>1,849,337.00</t>
  </si>
  <si>
    <t>SAPIENZA CONSULTING BV</t>
  </si>
  <si>
    <t>116,971.00</t>
  </si>
  <si>
    <t>Sapienza University of Rome</t>
  </si>
  <si>
    <t>25,676.00</t>
  </si>
  <si>
    <t>SCNTPL SP. Z O. O</t>
  </si>
  <si>
    <t>741,407.00</t>
  </si>
  <si>
    <t>1,781,185.00</t>
  </si>
  <si>
    <t>1,372,453.00</t>
  </si>
  <si>
    <t>SENER TAFS, S.A.U.</t>
  </si>
  <si>
    <t>19,381,278.00</t>
  </si>
  <si>
    <t>179,685.00</t>
  </si>
  <si>
    <t>156,150.00</t>
  </si>
  <si>
    <t>6,422,764.00</t>
  </si>
  <si>
    <t>6,085,138.59</t>
  </si>
  <si>
    <t>SET-WAY</t>
  </si>
  <si>
    <t>229,400.00</t>
  </si>
  <si>
    <t>Sipal 3D Technology Srl</t>
  </si>
  <si>
    <t>581,983.00</t>
  </si>
  <si>
    <t>SITAEL S.P.A.</t>
  </si>
  <si>
    <t>2,104,000.00</t>
  </si>
  <si>
    <t>1,788,000.00</t>
  </si>
  <si>
    <t>2,051,346.00</t>
  </si>
  <si>
    <t>1,918,850.00</t>
  </si>
  <si>
    <t>1,112,000.00</t>
  </si>
  <si>
    <t>29,079.00</t>
  </si>
  <si>
    <t>Soditech</t>
  </si>
  <si>
    <t>2,048,000.00</t>
  </si>
  <si>
    <t>Space Composite Structures DENMARK</t>
  </si>
  <si>
    <t>134,595.00</t>
  </si>
  <si>
    <t>SPACEBEL SA.</t>
  </si>
  <si>
    <t>684,936.00</t>
  </si>
  <si>
    <t>Space-Lock GmbH</t>
  </si>
  <si>
    <t>1,564,100.00</t>
  </si>
  <si>
    <t>4,505,000.00</t>
  </si>
  <si>
    <t>4,901,780.00</t>
  </si>
  <si>
    <t>6,405,000.00</t>
  </si>
  <si>
    <t>4,212,800.00</t>
  </si>
  <si>
    <t>996,644.00</t>
  </si>
  <si>
    <t>37,500.00</t>
  </si>
  <si>
    <t>SPAZIO IT</t>
  </si>
  <si>
    <t>70,466.00</t>
  </si>
  <si>
    <t>Sphereoptics GmbH</t>
  </si>
  <si>
    <t>71,872.00</t>
  </si>
  <si>
    <t>SPIRIT TECHNOLOGIES</t>
  </si>
  <si>
    <t>707,998.00</t>
  </si>
  <si>
    <t>SENTINEL-3 CD MODELS - SLSTR BLACK BODY SUBSYSTEM</t>
  </si>
  <si>
    <t>37,778.00</t>
  </si>
  <si>
    <t>SENTINEL-3 CD MODELS - SLSTR CALIBRATION</t>
  </si>
  <si>
    <t>185,332.00</t>
  </si>
  <si>
    <t>160,218.00</t>
  </si>
  <si>
    <t>5,734,675.00</t>
  </si>
  <si>
    <t>4,316,298.00</t>
  </si>
  <si>
    <t>TERMA A/S</t>
  </si>
  <si>
    <t>1,106,090.60</t>
  </si>
  <si>
    <t>3,542,396.00</t>
  </si>
  <si>
    <t>4,367,019.00</t>
  </si>
  <si>
    <t>3,427,178.69</t>
  </si>
  <si>
    <t>4,324,269.00</t>
  </si>
  <si>
    <t>2,548,062.00</t>
  </si>
  <si>
    <t>16,424,395.00</t>
  </si>
  <si>
    <t>SENTINEL-2 CD MODELS</t>
  </si>
  <si>
    <t>58,599.00</t>
  </si>
  <si>
    <t>COPERNICUS SENTINEL OPTICAL COMMUNICATION PAYLOADS IN-ORBIT MAINTENANCE SUPPORT</t>
  </si>
  <si>
    <t>930,032.00</t>
  </si>
  <si>
    <t>THALES ALENIA SPACE BELGIUM</t>
  </si>
  <si>
    <t>3,677,729.00</t>
  </si>
  <si>
    <t>7,748,914.00</t>
  </si>
  <si>
    <t>1,274,032.00</t>
  </si>
  <si>
    <t>12,636,900.00</t>
  </si>
  <si>
    <t>7,226,141.00</t>
  </si>
  <si>
    <t>15,587,886.00</t>
  </si>
  <si>
    <t>4,183,085.00</t>
  </si>
  <si>
    <t>1,004,246.00</t>
  </si>
  <si>
    <t>1,146,950.00</t>
  </si>
  <si>
    <t>8,690,400.00</t>
  </si>
  <si>
    <t>THALES ALENIA SPACE FRANCE SAS</t>
  </si>
  <si>
    <t>23,195,069.00</t>
  </si>
  <si>
    <t>81,966,732.00</t>
  </si>
  <si>
    <t>19,540,020.00</t>
  </si>
  <si>
    <t>739,319.00</t>
  </si>
  <si>
    <t>SENTINEL-3 CD MODELS - SATELLITE PRIME</t>
  </si>
  <si>
    <t>2,867,490.00</t>
  </si>
  <si>
    <t>COPERNICUS SPACE COMPONENT SENTINEL-2 PAYLOAD DATA GROUND SEGMENT SYSTEM OPERATIONS, MAINTENANCE AND EVOLUTION</t>
  </si>
  <si>
    <t>886,464.00</t>
  </si>
  <si>
    <t>SENTINEL-6 IN-ORBIT OPERATIONS MAINTENANCE SUPPORT PH1 AND PH2</t>
  </si>
  <si>
    <t>705,614.00</t>
  </si>
  <si>
    <t>7,791,378.00</t>
  </si>
  <si>
    <t>61,575,224.00</t>
  </si>
  <si>
    <t>1,046,454.00</t>
  </si>
  <si>
    <t>77,799,038.00</t>
  </si>
  <si>
    <t>285,717.00</t>
  </si>
  <si>
    <t>146,412.00</t>
  </si>
  <si>
    <t>THALES ALENIA SPACE POLSKA SP. Z.O.</t>
  </si>
  <si>
    <t>434,309.00</t>
  </si>
  <si>
    <t>THALES CRYOGENICS BV</t>
  </si>
  <si>
    <t>920,160.00</t>
  </si>
  <si>
    <t>THALES SESO</t>
  </si>
  <si>
    <t>2,248,302.00</t>
  </si>
  <si>
    <t>5,045,644.00</t>
  </si>
  <si>
    <t>TICRA FOND</t>
  </si>
  <si>
    <t>167,328.00</t>
  </si>
  <si>
    <t>1,764,844.00</t>
  </si>
  <si>
    <t>CSC DATA ACCESS SERVICE</t>
  </si>
  <si>
    <t>149,034,310.00</t>
  </si>
  <si>
    <t>UNIVERSITE DE LIEGE</t>
  </si>
  <si>
    <t>6,684,167.00</t>
  </si>
  <si>
    <t>2,268,647.00</t>
  </si>
  <si>
    <t>67,762.00</t>
  </si>
  <si>
    <t>25,522.00</t>
  </si>
  <si>
    <t>VON HOERNER &amp; SULGER GMBH</t>
  </si>
  <si>
    <t>6,571,120.00</t>
  </si>
  <si>
    <t>1,595,959.00</t>
  </si>
  <si>
    <t>WINLIGHT SYSTEM</t>
  </si>
  <si>
    <t>838,211.00</t>
  </si>
  <si>
    <t>240,550.00</t>
  </si>
  <si>
    <t>236,280.00</t>
  </si>
  <si>
    <t>150,030.00</t>
  </si>
  <si>
    <t>209,600.00</t>
  </si>
  <si>
    <t>279,990.00</t>
  </si>
  <si>
    <t>ZARM TECHNIK A G</t>
  </si>
  <si>
    <t>333,850.00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</si>
</sst>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8"/>
      <name val="Calibri"/>
      <family val="2"/>
      <scheme val="minor"/>
    </font>
    <font>
      <b/>
      <sz val="11"/>
      <color theme="0"/>
      <name val="Calibri"/>
      <family val="2"/>
      <scheme val="minor"/>
    </font>
    <font>
      <sz val="14"/>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theme="9" tint="0.39997558519241921"/>
      </top>
      <bottom style="thin">
        <color theme="9"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right/>
      <top/>
      <bottom style="thin">
        <color theme="9" tint="0.39997558519241921"/>
      </bottom>
      <diagonal/>
    </border>
    <border>
      <left/>
      <right/>
      <top style="thin">
        <color theme="9" tint="0.39997558519241921"/>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110">
    <xf numFmtId="0" fontId="0" fillId="0" borderId="0" xfId="0"/>
    <xf numFmtId="10" fontId="0" fillId="0" borderId="0" xfId="1" applyNumberFormat="1" applyFont="1"/>
    <xf numFmtId="0" fontId="4" fillId="0" borderId="0" xfId="2"/>
    <xf numFmtId="0" fontId="4" fillId="0" borderId="0" xfId="2" applyAlignment="1">
      <alignment horizontal="left" vertical="center" wrapText="1"/>
    </xf>
    <xf numFmtId="0" fontId="0" fillId="0" borderId="5" xfId="0" applyBorder="1"/>
    <xf numFmtId="10" fontId="0" fillId="0" borderId="5" xfId="1" applyNumberFormat="1" applyFont="1" applyFill="1" applyBorder="1"/>
    <xf numFmtId="0" fontId="0" fillId="0" borderId="0" xfId="0" applyAlignment="1">
      <alignment wrapText="1"/>
    </xf>
    <xf numFmtId="0" fontId="0" fillId="0" borderId="3" xfId="0" applyBorder="1"/>
    <xf numFmtId="0" fontId="0" fillId="0" borderId="9" xfId="0" applyBorder="1"/>
    <xf numFmtId="0" fontId="0" fillId="0" borderId="7" xfId="0" applyBorder="1"/>
    <xf numFmtId="0" fontId="0" fillId="0" borderId="10" xfId="0" applyBorder="1"/>
    <xf numFmtId="0" fontId="0" fillId="0" borderId="11" xfId="0" applyBorder="1"/>
    <xf numFmtId="10" fontId="0" fillId="0" borderId="3" xfId="1" applyNumberFormat="1" applyFont="1" applyBorder="1"/>
    <xf numFmtId="0" fontId="0" fillId="0" borderId="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0" fontId="0" fillId="0" borderId="3" xfId="1" applyNumberFormat="1" applyFont="1" applyBorder="1" applyAlignment="1">
      <alignment horizontal="right"/>
    </xf>
    <xf numFmtId="0" fontId="6" fillId="0" borderId="17" xfId="0" applyFont="1" applyBorder="1"/>
    <xf numFmtId="0" fontId="0" fillId="0" borderId="6" xfId="0" applyBorder="1"/>
    <xf numFmtId="0" fontId="0" fillId="0" borderId="6" xfId="0" applyBorder="1" applyAlignment="1">
      <alignment wrapText="1"/>
    </xf>
    <xf numFmtId="0" fontId="0" fillId="0" borderId="18" xfId="0" applyBorder="1"/>
    <xf numFmtId="0" fontId="0" fillId="0" borderId="18" xfId="0" applyBorder="1" applyAlignment="1">
      <alignment wrapText="1"/>
    </xf>
    <xf numFmtId="0" fontId="7" fillId="0" borderId="0" xfId="0" applyFont="1"/>
    <xf numFmtId="14" fontId="0" fillId="0" borderId="0" xfId="0" applyNumberFormat="1"/>
    <xf numFmtId="10" fontId="0" fillId="0" borderId="0" xfId="0" applyNumberFormat="1"/>
    <xf numFmtId="10" fontId="1" fillId="0" borderId="0" xfId="1" applyNumberFormat="1" applyFont="1"/>
    <xf numFmtId="0" fontId="0" fillId="4" borderId="0" xfId="0" applyFill="1"/>
    <xf numFmtId="10" fontId="0" fillId="4" borderId="0" xfId="1" applyNumberFormat="1" applyFont="1" applyFill="1"/>
    <xf numFmtId="10" fontId="0" fillId="0" borderId="0" xfId="1" applyNumberFormat="1" applyFont="1" applyFill="1"/>
    <xf numFmtId="0" fontId="0" fillId="0" borderId="0" xfId="0" applyAlignment="1">
      <alignment horizontal="justify" vertical="center" wrapText="1"/>
    </xf>
    <xf numFmtId="0" fontId="0" fillId="2" borderId="2" xfId="0" applyFill="1" applyBorder="1" applyAlignment="1">
      <alignment horizontal="left" vertical="center" wrapText="1"/>
    </xf>
    <xf numFmtId="0" fontId="0" fillId="0" borderId="0" xfId="0" applyAlignment="1">
      <alignment horizontal="left" vertical="center"/>
    </xf>
    <xf numFmtId="0" fontId="0" fillId="2" borderId="2" xfId="0" applyFill="1" applyBorder="1" applyAlignment="1">
      <alignment horizontal="center" vertical="center" wrapText="1"/>
    </xf>
    <xf numFmtId="10" fontId="0" fillId="2" borderId="2" xfId="0" applyNumberFormat="1" applyFill="1" applyBorder="1" applyAlignment="1">
      <alignment horizontal="center" vertical="center" wrapText="1"/>
    </xf>
    <xf numFmtId="0" fontId="0" fillId="2" borderId="0" xfId="0" applyFill="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0" fillId="0" borderId="21" xfId="0" applyBorder="1" applyAlignment="1">
      <alignment horizontal="center" vertical="center"/>
    </xf>
    <xf numFmtId="10" fontId="0" fillId="0" borderId="0" xfId="1" applyNumberFormat="1" applyFont="1" applyBorder="1" applyAlignment="1">
      <alignment horizontal="center"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10" fontId="3" fillId="2" borderId="2"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10" fontId="3" fillId="0" borderId="2" xfId="0" applyNumberFormat="1"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10" fontId="0" fillId="0" borderId="2" xfId="0" applyNumberFormat="1" applyBorder="1" applyAlignment="1">
      <alignment horizontal="center" vertical="center" wrapText="1"/>
    </xf>
    <xf numFmtId="0" fontId="2" fillId="0" borderId="4" xfId="0" applyFont="1" applyBorder="1" applyAlignment="1">
      <alignment horizontal="left" vertical="center"/>
    </xf>
    <xf numFmtId="0" fontId="2" fillId="0" borderId="4" xfId="0" applyFont="1" applyBorder="1" applyAlignment="1">
      <alignment horizontal="center" vertical="center"/>
    </xf>
    <xf numFmtId="10" fontId="2" fillId="0" borderId="4" xfId="0" applyNumberFormat="1" applyFont="1" applyBorder="1" applyAlignment="1">
      <alignment horizontal="center" vertical="center"/>
    </xf>
    <xf numFmtId="0" fontId="3" fillId="0" borderId="1" xfId="0" applyFont="1" applyBorder="1" applyAlignment="1">
      <alignment horizontal="center" vertical="center" wrapText="1"/>
    </xf>
    <xf numFmtId="0" fontId="3" fillId="2" borderId="2" xfId="0" applyFont="1" applyFill="1" applyBorder="1" applyAlignment="1">
      <alignment horizontal="left" vertical="center" wrapText="1"/>
    </xf>
    <xf numFmtId="10" fontId="0" fillId="0" borderId="23" xfId="1" applyNumberFormat="1" applyFont="1" applyBorder="1" applyAlignment="1">
      <alignment horizontal="center" vertical="center"/>
    </xf>
    <xf numFmtId="10" fontId="0" fillId="0" borderId="2" xfId="0" applyNumberFormat="1" applyBorder="1" applyAlignment="1">
      <alignment horizontal="center" vertical="center"/>
    </xf>
    <xf numFmtId="0" fontId="0" fillId="0" borderId="2" xfId="0" applyBorder="1" applyAlignment="1">
      <alignment horizontal="left" vertical="center" wrapText="1"/>
    </xf>
    <xf numFmtId="0" fontId="3" fillId="0" borderId="2" xfId="0" applyFont="1" applyBorder="1" applyAlignment="1">
      <alignment horizontal="left" vertical="center" wrapText="1"/>
    </xf>
    <xf numFmtId="10" fontId="2" fillId="0" borderId="4" xfId="1" applyNumberFormat="1" applyFont="1" applyBorder="1" applyAlignment="1">
      <alignment horizontal="center" vertical="center"/>
    </xf>
    <xf numFmtId="10" fontId="3" fillId="2" borderId="2" xfId="1" applyNumberFormat="1" applyFont="1" applyFill="1" applyBorder="1" applyAlignment="1">
      <alignment horizontal="center" vertical="center" wrapText="1"/>
    </xf>
    <xf numFmtId="10" fontId="3" fillId="0" borderId="2" xfId="1" applyNumberFormat="1" applyFont="1" applyBorder="1" applyAlignment="1">
      <alignment horizontal="center" vertical="center" wrapText="1"/>
    </xf>
    <xf numFmtId="10" fontId="0" fillId="0" borderId="2" xfId="1" applyNumberFormat="1" applyFont="1" applyBorder="1" applyAlignment="1">
      <alignment horizontal="center" vertical="center" wrapText="1"/>
    </xf>
    <xf numFmtId="10" fontId="0" fillId="2" borderId="2" xfId="1" applyNumberFormat="1" applyFont="1" applyFill="1" applyBorder="1" applyAlignment="1">
      <alignment horizontal="center" vertical="center" wrapText="1"/>
    </xf>
    <xf numFmtId="10" fontId="0" fillId="0" borderId="0" xfId="1" applyNumberFormat="1" applyFont="1" applyBorder="1" applyAlignment="1">
      <alignment horizontal="center" vertical="center" wrapText="1"/>
    </xf>
    <xf numFmtId="10" fontId="0" fillId="0" borderId="0" xfId="1" applyNumberFormat="1" applyFont="1" applyAlignment="1">
      <alignment horizontal="center" vertical="center"/>
    </xf>
    <xf numFmtId="0" fontId="0" fillId="5" borderId="0" xfId="0" applyFill="1"/>
    <xf numFmtId="10" fontId="0" fillId="5" borderId="0" xfId="1" applyNumberFormat="1" applyFont="1" applyFill="1"/>
    <xf numFmtId="0" fontId="2" fillId="6" borderId="4" xfId="0" applyFont="1" applyFill="1" applyBorder="1" applyAlignment="1">
      <alignment horizontal="center" vertical="center"/>
    </xf>
    <xf numFmtId="0" fontId="3" fillId="6" borderId="2" xfId="0" applyFont="1" applyFill="1" applyBorder="1" applyAlignment="1">
      <alignment horizontal="center" vertical="center" wrapText="1"/>
    </xf>
    <xf numFmtId="0" fontId="0" fillId="6" borderId="2" xfId="0" applyFill="1" applyBorder="1" applyAlignment="1">
      <alignment horizontal="center" vertical="center" wrapText="1"/>
    </xf>
    <xf numFmtId="0" fontId="0" fillId="6" borderId="0" xfId="0" applyFill="1" applyAlignment="1">
      <alignment horizontal="center" vertical="center"/>
    </xf>
    <xf numFmtId="0" fontId="2" fillId="6" borderId="4" xfId="1" applyNumberFormat="1" applyFont="1" applyFill="1" applyBorder="1" applyAlignment="1">
      <alignment horizontal="center" vertical="center"/>
    </xf>
    <xf numFmtId="0" fontId="3" fillId="6" borderId="2" xfId="1" applyNumberFormat="1" applyFont="1" applyFill="1" applyBorder="1" applyAlignment="1">
      <alignment horizontal="center" vertical="center" wrapText="1"/>
    </xf>
    <xf numFmtId="0" fontId="0" fillId="6" borderId="2" xfId="1" applyNumberFormat="1" applyFont="1" applyFill="1" applyBorder="1" applyAlignment="1">
      <alignment horizontal="center" vertical="center" wrapText="1"/>
    </xf>
    <xf numFmtId="0" fontId="0" fillId="6" borderId="0" xfId="1" applyNumberFormat="1" applyFont="1" applyFill="1" applyBorder="1" applyAlignment="1">
      <alignment horizontal="center" vertical="center" wrapText="1"/>
    </xf>
    <xf numFmtId="0" fontId="0" fillId="6" borderId="0" xfId="1" applyNumberFormat="1" applyFont="1" applyFill="1" applyAlignment="1">
      <alignment horizontal="center" vertical="center"/>
    </xf>
    <xf numFmtId="0" fontId="0" fillId="0" borderId="0"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10" fontId="0" fillId="4" borderId="25" xfId="1" applyNumberFormat="1" applyFont="1" applyFill="1" applyBorder="1" applyAlignment="1">
      <alignment horizontal="center" vertical="center"/>
    </xf>
    <xf numFmtId="10" fontId="0" fillId="4" borderId="23" xfId="1" applyNumberFormat="1" applyFont="1" applyFill="1" applyBorder="1" applyAlignment="1">
      <alignment horizontal="center" vertical="center"/>
    </xf>
    <xf numFmtId="0" fontId="0" fillId="0" borderId="0" xfId="0" applyBorder="1" applyAlignment="1">
      <alignment horizontal="center" vertical="center" wrapText="1"/>
    </xf>
    <xf numFmtId="10" fontId="0" fillId="0" borderId="0" xfId="0" applyNumberFormat="1" applyBorder="1" applyAlignment="1">
      <alignment horizontal="center" vertical="center"/>
    </xf>
    <xf numFmtId="0" fontId="0" fillId="6" borderId="0" xfId="0" applyFill="1" applyBorder="1" applyAlignment="1">
      <alignment horizontal="center" vertical="center" wrapText="1"/>
    </xf>
    <xf numFmtId="0" fontId="0" fillId="0" borderId="0" xfId="0" applyBorder="1" applyAlignment="1">
      <alignment horizontal="left"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10" fontId="0" fillId="0" borderId="14" xfId="1" applyNumberFormat="1" applyFont="1" applyBorder="1" applyAlignment="1">
      <alignment horizontal="center" vertical="center"/>
    </xf>
    <xf numFmtId="10" fontId="0" fillId="0" borderId="19" xfId="1" applyNumberFormat="1" applyFont="1" applyBorder="1" applyAlignment="1">
      <alignment horizontal="center" vertical="center"/>
    </xf>
    <xf numFmtId="10" fontId="0" fillId="0" borderId="20" xfId="1" applyNumberFormat="1" applyFont="1" applyBorder="1" applyAlignment="1">
      <alignment horizontal="center" vertical="center"/>
    </xf>
    <xf numFmtId="10" fontId="0" fillId="0" borderId="21" xfId="1" applyNumberFormat="1" applyFont="1" applyBorder="1" applyAlignment="1">
      <alignment horizontal="center" vertical="center"/>
    </xf>
    <xf numFmtId="10" fontId="0" fillId="0" borderId="22" xfId="1" applyNumberFormat="1"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10" fontId="2" fillId="0" borderId="2" xfId="0" applyNumberFormat="1" applyFont="1" applyBorder="1" applyAlignment="1">
      <alignment horizontal="center" vertical="center"/>
    </xf>
    <xf numFmtId="0" fontId="2" fillId="6" borderId="2" xfId="0" applyFont="1" applyFill="1" applyBorder="1" applyAlignment="1">
      <alignment horizontal="center" vertical="center" wrapText="1"/>
    </xf>
    <xf numFmtId="10" fontId="2" fillId="0" borderId="2" xfId="1" applyNumberFormat="1" applyFont="1" applyBorder="1" applyAlignment="1">
      <alignment horizontal="center" vertical="center" wrapText="1"/>
    </xf>
    <xf numFmtId="0" fontId="2" fillId="6" borderId="2" xfId="1" applyNumberFormat="1" applyFont="1" applyFill="1" applyBorder="1" applyAlignment="1">
      <alignment horizontal="center" vertical="center" wrapText="1"/>
    </xf>
    <xf numFmtId="0" fontId="2" fillId="0" borderId="0" xfId="0" applyFont="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0" fontId="0" fillId="3" borderId="8" xfId="1" applyNumberFormat="1" applyFont="1" applyFill="1" applyBorder="1" applyAlignment="1">
      <alignment horizontal="right" vertical="center"/>
    </xf>
    <xf numFmtId="10" fontId="0" fillId="3" borderId="1" xfId="1" applyNumberFormat="1" applyFont="1" applyFill="1" applyBorder="1" applyAlignment="1">
      <alignment horizontal="right" vertical="center"/>
    </xf>
  </cellXfs>
  <cellStyles count="3">
    <cellStyle name="Hyperlink" xfId="2" builtinId="8"/>
    <cellStyle name="Normal" xfId="0" builtinId="0"/>
    <cellStyle name="Percent" xfId="1" builtinId="5"/>
  </cellStyles>
  <dxfs count="1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bottom style="thin">
          <color theme="9" tint="0.39997558519241921"/>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mm/yyyy"/>
    </dxf>
    <dxf>
      <numFmt numFmtId="0" formatCode="General"/>
    </dxf>
    <dxf>
      <numFmt numFmtId="164" formatCode="d/mm/yyyy"/>
    </dxf>
    <dxf>
      <numFmt numFmtId="164" formatCode="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24D5EE4-051B-4A79-BFB2-D049CC55050E}" autoFormatId="16" applyNumberFormats="0" applyBorderFormats="0" applyFontFormats="0" applyPatternFormats="0" applyAlignmentFormats="0" applyWidthHeightFormats="0">
  <queryTableRefresh nextId="18">
    <queryTableFields count="17">
      <queryTableField id="1" name="tender_id" tableColumnId="1"/>
      <queryTableField id="2" name="tender_publications_firstdContractAwardDate" tableColumnId="2"/>
      <queryTableField id="3" name="tender_publications_lastContractAwardDate" tableColumnId="3"/>
      <queryTableField id="4" name="lot_status" tableColumnId="4"/>
      <queryTableField id="5" name="lot_contractSignatureDate" tableColumnId="5"/>
      <queryTableField id="6" name="lot_cancellationDate" tableColumnId="6"/>
      <queryTableField id="7" name="tender_year" tableColumnId="7"/>
      <queryTableField id="8" name="tender_title" tableColumnId="8"/>
      <queryTableField id="9" name="tender_country" tableColumnId="9"/>
      <queryTableField id="10" name="bidder_country" tableColumnId="10"/>
      <queryTableField id="11" name="price" tableColumnId="11"/>
      <queryTableField id="12" name="bidder_name" tableColumnId="12"/>
      <queryTableField id="13" name="buyer_name" tableColumnId="13"/>
      <queryTableField id="14" name="buyer_buyerType" tableColumnId="14"/>
      <queryTableField id="15" name="bid_price_EUR" tableColumnId="15"/>
      <queryTableField id="16" name="tender_finalPrice_EUR" tableColumnId="16"/>
      <queryTableField id="17" name="tender_estimatedPrice_EUR"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0" xr16:uid="{3691B84C-07B0-45A4-AD03-811B9BC0B944}" autoFormatId="16" applyNumberFormats="0" applyBorderFormats="0" applyFontFormats="0" applyPatternFormats="0" applyAlignmentFormats="0" applyWidthHeightFormats="0">
  <queryTableRefresh nextId="4" unboundColumnsRight="1">
    <queryTableFields count="3">
      <queryTableField id="1" name="Column1" tableColumnId="1"/>
      <queryTableField id="2" name="Column2" tableColumnId="2"/>
      <queryTableField id="3"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headers="0" connectionId="31" xr16:uid="{BAE3CF18-D6D0-45B1-B26E-E16B93C8B959}" autoFormatId="16" applyNumberFormats="0" applyBorderFormats="0" applyFontFormats="0" applyPatternFormats="0" applyAlignmentFormats="0" applyWidthHeightFormats="0">
  <queryTableRefresh headersInLastRefresh="0" nextId="4" unboundColumnsRight="1">
    <queryTableFields count="3">
      <queryTableField id="1" name="Column1" tableColumnId="1"/>
      <queryTableField id="2" name="Column2" tableColumnId="2"/>
      <queryTableField id="3" dataBound="0"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5" xr16:uid="{0168FB4E-FF56-4DAA-8A93-1E451495BBDA}" autoFormatId="16" applyNumberFormats="0" applyBorderFormats="0" applyFontFormats="0" applyPatternFormats="0" applyAlignmentFormats="0" applyWidthHeightFormats="0">
  <queryTableRefresh nextId="4" unboundColumnsRight="1">
    <queryTableFields count="3">
      <queryTableField id="1" name="Column1" tableColumnId="1"/>
      <queryTableField id="2" name="Column2" tableColumnId="2"/>
      <queryTableField id="3" dataBound="0"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26" xr16:uid="{5ADC376E-A08F-4C19-ADD6-E04B9B5F02D7}" autoFormatId="16" applyNumberFormats="0" applyBorderFormats="0" applyFontFormats="0" applyPatternFormats="0" applyAlignmentFormats="0" applyWidthHeightFormats="0">
  <queryTableRefresh nextId="4" unboundColumnsRight="1">
    <queryTableFields count="3">
      <queryTableField id="1" name="Column1" tableColumnId="1"/>
      <queryTableField id="2" name="Column2" tableColumnId="2"/>
      <queryTableField id="3" dataBound="0"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headers="0" connectionId="27" xr16:uid="{7183BF18-16D4-4A19-BFB2-B1A50933ADC9}" autoFormatId="16" applyNumberFormats="0" applyBorderFormats="0" applyFontFormats="0" applyPatternFormats="0" applyAlignmentFormats="0" applyWidthHeightFormats="0">
  <queryTableRefresh headersInLastRefresh="0" nextId="4" unboundColumnsRight="1">
    <queryTableFields count="3">
      <queryTableField id="1" name="Column1" tableColumnId="1"/>
      <queryTableField id="2" name="Column2" tableColumnId="2"/>
      <queryTableField id="3" dataBound="0"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headers="0" connectionId="28" xr16:uid="{EC89ABE5-605C-40B7-9507-197060F22596}" autoFormatId="16" applyNumberFormats="0" applyBorderFormats="0" applyFontFormats="0" applyPatternFormats="0" applyAlignmentFormats="0" applyWidthHeightFormats="0">
  <queryTableRefresh headersInLastRefresh="0" nextId="4" unboundColumnsRight="1">
    <queryTableFields count="3">
      <queryTableField id="1" name="Column1" tableColumnId="1"/>
      <queryTableField id="2" name="Column2" tableColumnId="2"/>
      <queryTableField id="3" dataBound="0"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headers="0" connectionId="29" xr16:uid="{70489636-5C8E-444A-8C8C-11327F82CFF5}" autoFormatId="16" applyNumberFormats="0" applyBorderFormats="0" applyFontFormats="0" applyPatternFormats="0" applyAlignmentFormats="0" applyWidthHeightFormats="0">
  <queryTableRefresh headersInLastRefresh="0" nextId="4" unboundColumnsRight="1">
    <queryTableFields count="3">
      <queryTableField id="1" name="Column1" tableColumnId="1"/>
      <queryTableField id="2" name="Column2" tableColumnId="2"/>
      <queryTableField id="3" dataBound="0"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2E5883C0-9425-496C-9EE3-4128F8DC7BE3}"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1" xr16:uid="{A0C000D9-DAB7-424C-9059-2131F0358AD7}"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12" xr16:uid="{FB005155-2F81-4328-B7F0-81D5F6C8AEA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5" xr16:uid="{F3BE043D-7B96-4A16-8145-5607D4175756}" autoFormatId="16" applyNumberFormats="0" applyBorderFormats="0" applyFontFormats="0" applyPatternFormats="0" applyAlignmentFormats="0" applyWidthHeightFormats="0">
  <queryTableRefresh nextId="8">
    <queryTableFields count="4">
      <queryTableField id="1" name="Column1" tableColumnId="1"/>
      <queryTableField id="2" name="Column2" tableColumnId="2"/>
      <queryTableField id="4" name="Column4" tableColumnId="4"/>
      <queryTableField id="7" name="Column7" tableColumnId="7"/>
    </queryTableFields>
    <queryTableDeletedFields count="3">
      <deletedField name="Column3"/>
      <deletedField name="Column5"/>
      <deletedField name="Column6"/>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headers="0" connectionId="13" xr16:uid="{ED610E05-D807-4EF3-82DB-79FEA46F8B1C}"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5" headers="0" connectionId="18" xr16:uid="{5B9A80B7-3F5E-4F35-992D-9B9A4191A931}"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6" connectionId="6" xr16:uid="{5D3F6931-BDAA-4409-8792-41AC3B0B14C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7" headers="0" connectionId="14" xr16:uid="{43EFD462-466E-4722-8F5A-F6667AD631FB}"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8" connectionId="7" xr16:uid="{42E6FBA6-6389-4DBD-B409-32DEEAE6B991}"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9" headers="0" backgroundRefresh="0" connectionId="1" xr16:uid="{AA39CC8A-3915-404E-9C9F-66756A9125A8}"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extLst>
    <ext xmlns:x15="http://schemas.microsoft.com/office/spreadsheetml/2010/11/main" uri="{883FBD77-0823-4a55-B5E3-86C4891E6966}">
      <x15:queryTable sourceDataName="Query - Table002 (Page 2) (3)"/>
    </ext>
  </extLst>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0" headers="0" connectionId="19" xr16:uid="{E13D24C8-6F0D-42B5-A5FF-4E6CA85D72C5}"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1" headers="0" connectionId="22" xr16:uid="{6E1F894D-4D87-4888-840F-6BD46E53F35F}"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2" connectionId="8" xr16:uid="{2CA897EA-9714-4253-B967-A8DC8304A15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3" headers="0" connectionId="16" xr16:uid="{E1C4E13E-42DC-40ED-93E4-7D70F1F63DFD}"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4" headers="0" connectionId="20" xr16:uid="{67DC6045-34B4-42F2-BE9D-D707E001DB71}"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5" headers="0" connectionId="9" xr16:uid="{4014BD45-EDAF-4538-A688-E56BBBF7C046}"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6" connectionId="10" xr16:uid="{182A4EA2-3F36-495C-B9F6-BACE989F2BB7}" autoFormatId="16" applyNumberFormats="0" applyBorderFormats="0" applyFontFormats="0" applyPatternFormats="0" applyAlignmentFormats="0" applyWidthHeightFormats="0">
  <queryTableRefresh nextId="7">
    <queryTableFields count="4">
      <queryTableField id="1" name="Column1" tableColumnId="1"/>
      <queryTableField id="2" name="Column2" tableColumnId="2"/>
      <queryTableField id="3" name="Column3" tableColumnId="3"/>
      <queryTableField id="6" name="Column6" tableColumnId="6"/>
    </queryTableFields>
    <queryTableDeletedFields count="2">
      <deletedField name="Column4"/>
      <deletedField name="Column5"/>
    </queryTableDeleted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7" headers="0" connectionId="17" xr16:uid="{E207980B-8577-4FD3-93DF-1E0B1E7601C1}"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8" headers="0" connectionId="21" xr16:uid="{5C465CC2-C2FA-48D3-BB2E-ED6C94CDE23D}" autoFormatId="16" applyNumberFormats="0" applyBorderFormats="0" applyFontFormats="0" applyPatternFormats="0" applyAlignmentFormats="0" applyWidthHeightFormats="0">
  <queryTableRefresh headersInLastRefresh="0" nextId="9">
    <queryTableFields count="4">
      <queryTableField id="1" name="Column1" tableColumnId="1"/>
      <queryTableField id="2" name="Column2" tableColumnId="2"/>
      <queryTableField id="5" name="Column5" tableColumnId="5"/>
      <queryTableField id="8" name="Column8" tableColumnId="8"/>
    </queryTableFields>
    <queryTableDeletedFields count="4">
      <deletedField name="Column3"/>
      <deletedField name="Column4"/>
      <deletedField name="Column6"/>
      <deletedField name="Column7"/>
    </queryTableDeleted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9" headers="0" connectionId="23" xr16:uid="{DC30ABC1-2EDB-474E-AEF9-94D5E4EC1F90}" autoFormatId="16" applyNumberFormats="0" applyBorderFormats="0" applyFontFormats="0" applyPatternFormats="0" applyAlignmentFormats="0" applyWidthHeightFormats="0">
  <queryTableRefresh headersInLastRefresh="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31.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13548EF-0400-4932-9B39-61CCE1E6242E}" name="Table_d927227da7579ed4c362a2e2b7179a9" displayName="Table_d927227da7579ed4c362a2e2b7179a9" ref="A1:Q986" tableType="queryTable" totalsRowShown="0">
  <autoFilter ref="A1:Q986" xr:uid="{713548EF-0400-4932-9B39-61CCE1E6242E}"/>
  <tableColumns count="17">
    <tableColumn id="1" xr3:uid="{1618F73F-2B61-44E1-A4A0-A0FC0AE5A1DC}" uniqueName="1" name="tender_id" queryTableFieldId="1" dataDxfId="121"/>
    <tableColumn id="2" xr3:uid="{D5D7FBE9-F7CB-4AEC-B4B7-43AC53A0D072}" uniqueName="2" name="tender_publications_firstdContractAwardDate" queryTableFieldId="2" dataDxfId="120"/>
    <tableColumn id="3" xr3:uid="{230A6777-1492-415F-A6B0-1F069853D1E7}" uniqueName="3" name="tender_publications_lastContractAwardDate" queryTableFieldId="3" dataDxfId="119"/>
    <tableColumn id="4" xr3:uid="{E6F49DC0-2B0E-4D64-9D75-D0337DF0A649}" uniqueName="4" name="lot_status" queryTableFieldId="4" dataDxfId="118"/>
    <tableColumn id="5" xr3:uid="{6C35A78F-7D9C-4693-9C0A-35CA5EBB4CB0}" uniqueName="5" name="lot_contractSignatureDate" queryTableFieldId="5" dataDxfId="117"/>
    <tableColumn id="6" xr3:uid="{C4DAE6C3-B1E8-43A5-9410-1CF63A4FFB83}" uniqueName="6" name="lot_cancellationDate" queryTableFieldId="6"/>
    <tableColumn id="7" xr3:uid="{4FB1D867-33EE-4230-BBDF-CF9FED53C0CC}" uniqueName="7" name="tender_year" queryTableFieldId="7"/>
    <tableColumn id="8" xr3:uid="{0B6BD925-EFB1-4A5D-8031-BC90D165D946}" uniqueName="8" name="tender_title" queryTableFieldId="8" dataDxfId="116"/>
    <tableColumn id="9" xr3:uid="{D46A935A-34F7-4493-9257-373C16A737F7}" uniqueName="9" name="tender_country" queryTableFieldId="9" dataDxfId="115"/>
    <tableColumn id="10" xr3:uid="{558363B2-A396-44E3-AEC5-00F5B0621EBD}" uniqueName="10" name="bidder_country" queryTableFieldId="10" dataDxfId="114"/>
    <tableColumn id="11" xr3:uid="{A0F1D58B-6206-45E1-BDF0-BE202AF5354B}" uniqueName="11" name="price" queryTableFieldId="11"/>
    <tableColumn id="12" xr3:uid="{7B06F06F-F786-4124-82FD-6145828917F1}" uniqueName="12" name="bidder_name" queryTableFieldId="12" dataDxfId="113"/>
    <tableColumn id="13" xr3:uid="{420FA23A-C7CE-4D0A-9AAE-73F474C1140B}" uniqueName="13" name="buyer_name" queryTableFieldId="13" dataDxfId="112"/>
    <tableColumn id="14" xr3:uid="{E2D1D38E-F732-4391-9D76-DD6C105D60CE}" uniqueName="14" name="buyer_buyerType" queryTableFieldId="14" dataDxfId="111"/>
    <tableColumn id="15" xr3:uid="{123A029F-F83E-4E0F-A839-E7CCB2D5D544}" uniqueName="15" name="bid_price_EUR" queryTableFieldId="15"/>
    <tableColumn id="16" xr3:uid="{C806E9D0-1C48-4F32-A7D9-53FC1D33A08C}" uniqueName="16" name="tender_finalPrice_EUR" queryTableFieldId="16"/>
    <tableColumn id="17" xr3:uid="{17E3357B-9A32-4CA0-B756-FBADC28AAEE9}" uniqueName="17" name="tender_estimatedPrice_EUR" queryTableFieldId="1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1A3323-0AA0-482B-93FA-C1A847C445AC}" name="Table_Table078__Page_83" displayName="Table_Table078__Page_83" ref="A1:C36" tableType="queryTable" totalsRowShown="0">
  <autoFilter ref="A1:C36" xr:uid="{E01A3323-0AA0-482B-93FA-C1A847C445AC}"/>
  <sortState xmlns:xlrd2="http://schemas.microsoft.com/office/spreadsheetml/2017/richdata2" ref="A2:C36">
    <sortCondition ref="C1:C36"/>
  </sortState>
  <tableColumns count="3">
    <tableColumn id="1" xr3:uid="{7C6BD0A5-7568-4B6C-852C-72E5961743B4}" uniqueName="1" name="Component" queryTableFieldId="1" dataDxfId="110"/>
    <tableColumn id="2" xr3:uid="{5409D024-F9C3-48B1-BDEE-5CE3A745740E}" uniqueName="2" name="Supplier" queryTableFieldId="2" dataDxfId="109"/>
    <tableColumn id="4" xr3:uid="{5991896C-39A8-4E1E-86E7-E8A5C974AB06}" uniqueName="4" name="Country" queryTableFieldId="3" dataDxfId="10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B94147-ECEE-4D0D-ABB1-B7E3E859F205}" name="Table_Table079__Page_84" displayName="Table_Table079__Page_84" ref="A37:C82" tableType="queryTable" headerRowCount="0" totalsRowShown="0">
  <tableColumns count="3">
    <tableColumn id="1" xr3:uid="{4161F90F-7288-479F-A2E5-B69EF383412C}" uniqueName="1" name="Column1" queryTableFieldId="1" dataDxfId="107"/>
    <tableColumn id="2" xr3:uid="{1597503F-B0AD-4968-8F05-D03A8EBE18B6}" uniqueName="2" name="Column2" queryTableFieldId="2" dataDxfId="106"/>
    <tableColumn id="4" xr3:uid="{311A5BD8-C97F-4486-9B65-AC901EC0E907}" uniqueName="4" name="Column3" queryTableFieldId="3" dataDxfId="10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DD4F8C2-DC6E-48D4-8A40-6033E87CFBB5}" name="Table_Table055__Page_69___2" displayName="Table_Table055__Page_69___2" ref="A1:C39" tableType="queryTable" totalsRowShown="0">
  <autoFilter ref="A1:C39" xr:uid="{FDD4F8C2-DC6E-48D4-8A40-6033E87CFBB5}"/>
  <sortState xmlns:xlrd2="http://schemas.microsoft.com/office/spreadsheetml/2017/richdata2" ref="A2:C39">
    <sortCondition ref="C1:C39"/>
  </sortState>
  <tableColumns count="3">
    <tableColumn id="1" xr3:uid="{73DA4361-CC23-4FA0-9BDE-2F4A8C9E5DD7}" uniqueName="1" name="Component" queryTableFieldId="1" dataDxfId="104"/>
    <tableColumn id="2" xr3:uid="{60D0AE88-8E2B-4DA8-9481-89549E40B854}" uniqueName="2" name="Supplier" queryTableFieldId="2" dataDxfId="103"/>
    <tableColumn id="3" xr3:uid="{078327E0-7621-4C4D-BB51-326D25FD0348}" uniqueName="3" name="Country" queryTableFieldId="3" dataDxfId="10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B36E2E8-71DE-4375-82A3-4A47E134D157}" name="Table_Table071__Page_97" displayName="Table_Table071__Page_97" ref="A1:C26" tableType="queryTable" totalsRowShown="0">
  <autoFilter ref="A1:C26" xr:uid="{3B36E2E8-71DE-4375-82A3-4A47E134D157}"/>
  <sortState xmlns:xlrd2="http://schemas.microsoft.com/office/spreadsheetml/2017/richdata2" ref="A2:C26">
    <sortCondition ref="C1:C26"/>
  </sortState>
  <tableColumns count="3">
    <tableColumn id="1" xr3:uid="{C7EF6A7D-954F-4870-84E5-CF8753E41848}" uniqueName="1" name="Component" queryTableFieldId="1" dataDxfId="101"/>
    <tableColumn id="2" xr3:uid="{868F2FF4-4070-45E0-B182-E8E86469D959}" uniqueName="2" name="Supplier" queryTableFieldId="2" dataDxfId="100"/>
    <tableColumn id="3" xr3:uid="{6051CA75-1236-4D06-8DA9-9D5C1F4CF95B}" uniqueName="3" name="Country" queryTableFieldId="3" dataDxfId="99"/>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1893FE-F01B-40BE-8439-4D4F3E74A6A5}" name="Table_Table072__Page_97" displayName="Table_Table072__Page_97" ref="A27:C50" tableType="queryTable" headerRowCount="0" totalsRowShown="0">
  <tableColumns count="3">
    <tableColumn id="1" xr3:uid="{BC8FA84C-A924-48BC-8C78-152E42F610F4}" uniqueName="1" name="Column1" queryTableFieldId="1" dataDxfId="98"/>
    <tableColumn id="2" xr3:uid="{DBBA9F1F-7204-4FCA-813C-7180B33F5D18}" uniqueName="2" name="Column2" queryTableFieldId="2" dataDxfId="97"/>
    <tableColumn id="3" xr3:uid="{19E6A6E7-E1BD-4C9B-814D-C5681FA92F1A}" uniqueName="3" name="Column3" queryTableFieldId="3" dataDxfId="9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8F512B1-5A88-4D2E-9B9E-5165B46E9695}" name="Table_Table073__Page_98" displayName="Table_Table073__Page_98" ref="A51:C104" tableType="queryTable" headerRowCount="0" totalsRowShown="0">
  <tableColumns count="3">
    <tableColumn id="1" xr3:uid="{3E73A466-C673-4DF0-A2C1-2C05120BB2CF}" uniqueName="1" name="Column1" queryTableFieldId="1" dataDxfId="95"/>
    <tableColumn id="2" xr3:uid="{6F516C94-3857-4747-ACD1-D3890CB1C8FD}" uniqueName="2" name="Column2" queryTableFieldId="2" dataDxfId="94"/>
    <tableColumn id="3" xr3:uid="{0E553EA0-379A-4C28-BC8D-99930F53B0C5}" uniqueName="3" name="Column3" queryTableFieldId="3" dataDxfId="93"/>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A5FD270-E382-49A5-AA61-E93BD7E3F85D}" name="Table_Table074__Page_99" displayName="Table_Table074__Page_99" ref="A105:C138" tableType="queryTable" headerRowCount="0" totalsRowShown="0">
  <tableColumns count="3">
    <tableColumn id="1" xr3:uid="{41E996C7-B664-439F-8AB9-F5B66DC5F8EB}" uniqueName="1" name="Column1" queryTableFieldId="1" dataDxfId="92"/>
    <tableColumn id="2" xr3:uid="{96CB0860-887F-440B-B16C-105C44D1CDD4}" uniqueName="2" name="Column2" queryTableFieldId="2" dataDxfId="91"/>
    <tableColumn id="3" xr3:uid="{DEFA2E3D-7443-4639-9627-CADE2D0ECC2C}" uniqueName="3" name="Column3" queryTableFieldId="3" dataDxfId="90"/>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C70412-B69D-49F2-8848-3910F4647FA0}" name="Table2" displayName="Table2" ref="A1:C58" totalsRowShown="0" headerRowDxfId="89" dataDxfId="88" headerRowBorderDxfId="86" tableBorderDxfId="87" totalsRowBorderDxfId="85">
  <autoFilter ref="A1:C58" xr:uid="{CBC70412-B69D-49F2-8848-3910F4647FA0}"/>
  <sortState xmlns:xlrd2="http://schemas.microsoft.com/office/spreadsheetml/2017/richdata2" ref="A2:C58">
    <sortCondition ref="A1:A58"/>
  </sortState>
  <tableColumns count="3">
    <tableColumn id="1" xr3:uid="{ACA1B5B3-DBAD-4966-BF31-8B2A04EB908A}" name="Component" dataDxfId="84"/>
    <tableColumn id="2" xr3:uid="{EB65B0D5-1630-410D-899A-B896AB3C5552}" name="Supplier" dataDxfId="83"/>
    <tableColumn id="3" xr3:uid="{999D9421-532A-4E11-891B-70550C5B3DCA}" name="Country" dataDxfId="82"/>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2EE9ABD-D5F7-4ECD-BD26-D5AE5DB507C7}" name="Table30" displayName="Table30" ref="A1:C51" totalsRowShown="0">
  <autoFilter ref="A1:C51" xr:uid="{92EE9ABD-D5F7-4ECD-BD26-D5AE5DB507C7}"/>
  <sortState xmlns:xlrd2="http://schemas.microsoft.com/office/spreadsheetml/2017/richdata2" ref="A2:C51">
    <sortCondition ref="C1:C51"/>
  </sortState>
  <tableColumns count="3">
    <tableColumn id="1" xr3:uid="{64B62125-D550-4FB8-8E13-9BA4CD8E5AA2}" name="Component"/>
    <tableColumn id="2" xr3:uid="{F3D258D1-D883-41E5-A720-831BC955787D}" name="Supplier"/>
    <tableColumn id="3" xr3:uid="{89A6E269-DEA5-46C1-9F7E-7BAC352BB216}" name="Country"/>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71BAD-2854-4DB1-891A-6FDAC2EFF856}" name="Table_Table001__Page_1" displayName="Table_Table001__Page_1" ref="A1:D7" tableType="queryTable" totalsRowShown="0">
  <autoFilter ref="A1:D7" xr:uid="{E4671BAD-2854-4DB1-891A-6FDAC2EFF856}"/>
  <tableColumns count="4">
    <tableColumn id="1" xr3:uid="{7E18F8D1-5F3D-4406-8120-8E7B8C21233A}" uniqueName="1" name="Name of Recipient" queryTableFieldId="1" dataDxfId="81"/>
    <tableColumn id="2" xr3:uid="{9E89DD64-E0E5-45BB-86D3-AC46EBF50B9D}" uniqueName="2" name="Country" queryTableFieldId="2" dataDxfId="80"/>
    <tableColumn id="3" xr3:uid="{EF6E4F1D-D563-4EB2-A973-2D8A67F27883}" uniqueName="3" name="Summary of Activities" queryTableFieldId="3" dataDxfId="79"/>
    <tableColumn id="4" xr3:uid="{D9B17761-364D-4F73-85F8-819F07F28D80}" uniqueName="4" name="Contract value" queryTableFieldId="4" dataDxfId="78"/>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1945C78-28F8-4EC8-A9CF-CF2024F90D87}" name="Table22" displayName="Table22" ref="A1:D190" totalsRowShown="0">
  <autoFilter ref="A1:D190" xr:uid="{E1945C78-28F8-4EC8-A9CF-CF2024F90D87}"/>
  <tableColumns count="4">
    <tableColumn id="1" xr3:uid="{998D8A7C-348B-4E87-8566-91B672482EA6}" name="Name of Recipient"/>
    <tableColumn id="2" xr3:uid="{B157B799-E5F8-4E59-8D7A-F431D37F2AF0}" name="Country"/>
    <tableColumn id="3" xr3:uid="{8297458F-2549-42FC-B32E-3E6828461211}" name="Summary of Activities"/>
    <tableColumn id="4" xr3:uid="{90E053BF-2F29-48F4-86F0-085D6EC82B5F}" name="• Copernicus 201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096176-BAE2-4CF6-80B5-B3407F1F8A17}" name="Table_Table001__Page_1_3" displayName="Table_Table001__Page_1_3" ref="A1:D116" tableType="queryTable" totalsRowShown="0">
  <autoFilter ref="A1:D116" xr:uid="{33096176-BAE2-4CF6-80B5-B3407F1F8A17}"/>
  <tableColumns count="4">
    <tableColumn id="1" xr3:uid="{46FA2C6B-79C7-4947-973D-7E5FFC75B15B}" uniqueName="1" name="Name of Recipient" queryTableFieldId="1" dataDxfId="77"/>
    <tableColumn id="2" xr3:uid="{75C158DB-9C07-41E7-AF0C-BE2A3BE18D98}" uniqueName="2" name="Country" queryTableFieldId="2" dataDxfId="76"/>
    <tableColumn id="3" xr3:uid="{BEBB1050-DF41-4C2B-83A1-B3784B611A3C}" uniqueName="3" name="Summary of Activities" queryTableFieldId="3" dataDxfId="75"/>
    <tableColumn id="4" xr3:uid="{8F4CAF8E-23DC-4B94-9460-E74B81161844}" uniqueName="4" name="Contract value on_x000a_Copernicus 2016" queryTableFieldId="4" dataDxfId="74"/>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3FC8C3-72FD-49E5-AB7C-2BCE7DAF2D2D}" name="Table_Table001__Page_1_7" displayName="Table_Table001__Page_1_7" ref="A1:D87" tableType="queryTable" totalsRowShown="0">
  <autoFilter ref="A1:D87" xr:uid="{0D3FC8C3-72FD-49E5-AB7C-2BCE7DAF2D2D}"/>
  <tableColumns count="4">
    <tableColumn id="1" xr3:uid="{5DD7840F-FB2C-41EA-A102-F8747B436593}" uniqueName="1" name="Name of Recipient" queryTableFieldId="1" dataDxfId="73"/>
    <tableColumn id="2" xr3:uid="{5A0A3CCA-5F03-4367-82E1-894DD89EFC3E}" uniqueName="2" name="Country" queryTableFieldId="2" dataDxfId="72"/>
    <tableColumn id="3" xr3:uid="{A7AA3BAA-1F62-4593-8CB1-9338AE351890}" uniqueName="3" name="Summary of Activities" queryTableFieldId="3" dataDxfId="71"/>
    <tableColumn id="4" xr3:uid="{16A63195-11EA-4F74-BDF8-2F6013140261}" uniqueName="4" name="Contract value_x000a_on Copernicus_x000a_2017 (EUR)" queryTableFieldId="4" dataDxfId="70"/>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0C80DB-F4CA-4368-8FD7-D594AAC9AAC5}" name="Table_Table001__Page_1___2" displayName="Table_Table001__Page_1___2" ref="A1:D33" tableType="queryTable" totalsRowShown="0">
  <autoFilter ref="A1:D33" xr:uid="{C80C80DB-F4CA-4368-8FD7-D594AAC9AAC5}"/>
  <sortState xmlns:xlrd2="http://schemas.microsoft.com/office/spreadsheetml/2017/richdata2" ref="A2:D33">
    <sortCondition ref="B1:B33"/>
  </sortState>
  <tableColumns count="4">
    <tableColumn id="1" xr3:uid="{468E21F4-4EA2-4857-A42E-08C44D502105}" uniqueName="1" name="Name of Recipient" queryTableFieldId="1" dataDxfId="69"/>
    <tableColumn id="2" xr3:uid="{F8D6A9F6-75D0-4CBC-8B04-0484A50AC4A8}" uniqueName="2" name="Country" queryTableFieldId="2" dataDxfId="68"/>
    <tableColumn id="4" xr3:uid="{C72AD968-9092-4350-A149-A3F8286DC8A2}" uniqueName="4" name="Summary of Activities" queryTableFieldId="4" dataDxfId="67"/>
    <tableColumn id="7" xr3:uid="{F96F8120-9DC0-4A4E-8EA2-208A3867E911}" uniqueName="7" name="Contract value" queryTableFieldId="7" dataDxfId="66"/>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71A525-A57B-4C36-BA4C-26DD8A02A27A}" name="Table_Table002__Page_2" displayName="Table_Table002__Page_2" ref="A34:D67" tableType="queryTable" headerRowCount="0" totalsRowShown="0">
  <tableColumns count="4">
    <tableColumn id="1" xr3:uid="{5DC95817-24BA-4796-B686-C4B86F2EB56E}" uniqueName="1" name="Column1" queryTableFieldId="1" dataDxfId="65"/>
    <tableColumn id="2" xr3:uid="{E9318602-DD1B-4338-8B73-D11B6381D3A4}" uniqueName="2" name="Column2" queryTableFieldId="2" dataDxfId="64"/>
    <tableColumn id="3" xr3:uid="{DEBA90CF-354B-4F0A-A4EE-51552BCC1E4A}" uniqueName="3" name="Column3" queryTableFieldId="3" dataDxfId="63"/>
    <tableColumn id="4" xr3:uid="{50C2A21B-F22C-4039-A994-37E741D4D7BC}" uniqueName="4" name="Column4" queryTableFieldId="4" dataDxfId="62"/>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CF8E8C-729F-4C44-815B-F70DF0D6AF92}" name="Table_Table003__Page_3" displayName="Table_Table003__Page_3" ref="A68:D82" tableType="queryTable" headerRowCount="0" totalsRowShown="0">
  <tableColumns count="4">
    <tableColumn id="1" xr3:uid="{6BBA0977-63EB-4ADD-9FDB-C3EE9DC32B93}" uniqueName="1" name="Column1" queryTableFieldId="1" dataDxfId="61"/>
    <tableColumn id="2" xr3:uid="{4EA8B1AA-47AA-42C2-8039-5F510BB76C16}" uniqueName="2" name="Column2" queryTableFieldId="2" dataDxfId="60"/>
    <tableColumn id="3" xr3:uid="{EABA22E6-9FCE-439E-B625-3A777C394C85}" uniqueName="3" name="Column3" queryTableFieldId="3" dataDxfId="59"/>
    <tableColumn id="4" xr3:uid="{EECA18D7-EA59-49F0-9331-21EED833B7FF}" uniqueName="4" name="Column4" queryTableFieldId="4" dataDxfId="58"/>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7CF24F-D894-48F8-955E-99CB4A80EAEF}" name="Table_Table001__Page_1___3" displayName="Table_Table001__Page_1___3" ref="A1:D44" tableType="queryTable" totalsRowShown="0">
  <autoFilter ref="A1:D44" xr:uid="{5F7CF24F-D894-48F8-955E-99CB4A80EAEF}"/>
  <sortState xmlns:xlrd2="http://schemas.microsoft.com/office/spreadsheetml/2017/richdata2" ref="A2:D44">
    <sortCondition ref="B1:B44"/>
  </sortState>
  <tableColumns count="4">
    <tableColumn id="1" xr3:uid="{297DF839-A83A-4D70-958F-F2F20AD847D4}" uniqueName="1" name="Name of Recipient" queryTableFieldId="1" dataDxfId="57"/>
    <tableColumn id="2" xr3:uid="{836B2BB5-33FE-4416-B1D3-7F3002C01D10}" uniqueName="2" name="Country" queryTableFieldId="2" dataDxfId="56"/>
    <tableColumn id="3" xr3:uid="{721E7341-44D9-44CC-9950-00A2115F7D86}" uniqueName="3" name="Summary of Activities" queryTableFieldId="3" dataDxfId="55"/>
    <tableColumn id="4" xr3:uid="{BAD284A5-10B4-43D8-97B8-34FAAD18A390}" uniqueName="4" name="Contract value_x000a_on Copernicus_x000a_2019 (€)" queryTableFieldId="4" dataDxfId="54"/>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D25DCD-2443-4661-9229-16FDE3F9AFA0}" name="Table_Table002__Page_2___2" displayName="Table_Table002__Page_2___2" ref="A45:D95" tableType="queryTable" headerRowCount="0" totalsRowShown="0">
  <tableColumns count="4">
    <tableColumn id="1" xr3:uid="{F40AE482-D8A9-4474-B8E7-7C36C3F3B865}" uniqueName="1" name="Column1" queryTableFieldId="1" dataDxfId="53"/>
    <tableColumn id="2" xr3:uid="{6C2B6FC5-2A05-40DA-8EA0-25AC71ACFD15}" uniqueName="2" name="Column2" queryTableFieldId="2" dataDxfId="52"/>
    <tableColumn id="3" xr3:uid="{B2D4EF65-FABF-49FF-AC59-75EED962765A}" uniqueName="3" name="Column3" queryTableFieldId="3" dataDxfId="51"/>
    <tableColumn id="4" xr3:uid="{73C77C25-9725-406B-95ED-0ADCD3E6BF07}" uniqueName="4" name="Column4" queryTableFieldId="4" dataDxfId="50"/>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EEE1E0-BB3C-474C-91B3-36A8864CFCA5}" name="Table_Table001__Page_1___4" displayName="Table_Table001__Page_1___4" ref="A1:D40" tableType="queryTable" totalsRowShown="0">
  <autoFilter ref="A1:D40" xr:uid="{9FEEE1E0-BB3C-474C-91B3-36A8864CFCA5}"/>
  <tableColumns count="4">
    <tableColumn id="1" xr3:uid="{4299C32A-2093-4E00-A459-503D14C4BF87}" uniqueName="1" name="Name of Recipient" queryTableFieldId="1" dataDxfId="49"/>
    <tableColumn id="2" xr3:uid="{1E1C53C1-4651-4220-8409-BE76800B2FC7}" uniqueName="2" name="Country" queryTableFieldId="2" dataDxfId="48"/>
    <tableColumn id="3" xr3:uid="{19418916-AC88-4EA0-8DCB-EB80AA2AE900}" uniqueName="3" name="Summary of Activities" queryTableFieldId="3" dataDxfId="47"/>
    <tableColumn id="4" xr3:uid="{9FC89FB6-9569-4C91-92D4-CD024A11297A}" uniqueName="4" name="Contract value_x000a_on Copernicus_x000a_2020 (€)" queryTableFieldId="4" dataDxfId="46"/>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F3EC983-398B-4768-992F-FF1B78A7C2C6}" name="Table_Table002__Page_2___3" displayName="Table_Table002__Page_2___3" ref="A41:D86" tableType="queryTable" headerRowCount="0" totalsRowShown="0">
  <tableColumns count="4">
    <tableColumn id="1" xr3:uid="{58FBAF36-E45E-4C4F-BB4D-4DF2ACF3730E}" uniqueName="1" name="Column1" queryTableFieldId="1" dataDxfId="45"/>
    <tableColumn id="2" xr3:uid="{9D3D87EC-5787-4E54-BFA9-080E404251FE}" uniqueName="2" name="Column2" queryTableFieldId="2" dataDxfId="44"/>
    <tableColumn id="3" xr3:uid="{F55DADA1-2B56-4DCD-9DEF-D97808E17DB3}" uniqueName="3" name="Column3" queryTableFieldId="3" dataDxfId="43"/>
    <tableColumn id="4" xr3:uid="{AE9E191B-9ADC-4262-AF61-7A22A1ACBB88}" uniqueName="4" name="Column4" queryTableFieldId="4" dataDxfId="42"/>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DA35909-5D80-421D-829F-C17F2217D83C}" name="Table_Table003__Page_3___2" displayName="Table_Table003__Page_3___2" ref="A87:D133" tableType="queryTable" headerRowCount="0" totalsRowShown="0">
  <tableColumns count="4">
    <tableColumn id="1" xr3:uid="{13A69D3A-0DBB-4F5A-AA53-4506E7BC2D25}" uniqueName="1" name="Column1" queryTableFieldId="1" dataDxfId="41"/>
    <tableColumn id="2" xr3:uid="{5901FAD4-E761-4703-B441-69F2E347F3DC}" uniqueName="2" name="Column2" queryTableFieldId="2" dataDxfId="40"/>
    <tableColumn id="3" xr3:uid="{00F8049D-5D52-4337-9353-5FBC00D6BE48}" uniqueName="3" name="Column3" queryTableFieldId="3" dataDxfId="39"/>
    <tableColumn id="4" xr3:uid="{1539BBDF-6660-44B2-B3B0-2FC6A385C606}" uniqueName="4" name="Column4" queryTableFieldId="4" dataDxfId="38"/>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AA0082-D36D-4832-A724-03C80CDA38A8}" name="Table_Table004__Page_4" displayName="Table_Table004__Page_4" ref="A134:D155" tableType="queryTable" headerRowCount="0" totalsRowShown="0">
  <tableColumns count="4">
    <tableColumn id="1" xr3:uid="{5EA11C53-5D05-4E7B-AD69-DA7D8E7311D6}" uniqueName="1" name="Column1" queryTableFieldId="1" dataDxfId="37"/>
    <tableColumn id="2" xr3:uid="{C3E6A39C-4A15-48F9-BF52-1799D3B0BEC3}" uniqueName="2" name="Column2" queryTableFieldId="2" dataDxfId="36"/>
    <tableColumn id="3" xr3:uid="{50BC779E-AF3B-4107-84F7-1C2C35085733}" uniqueName="3" name="Column3" queryTableFieldId="3" dataDxfId="35"/>
    <tableColumn id="4" xr3:uid="{65E14011-4A4C-45B3-A7DC-BF7EA5017F58}" uniqueName="4" name="Column4" queryTableFieldId="4" dataDxfId="34"/>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075F07-BE99-4022-9F2C-8C5975DA7C61}" name="Table_Table001__Page_1___5" displayName="Table_Table001__Page_1___5" ref="A1:D78" tableType="queryTable" totalsRowShown="0" headerRowDxfId="33">
  <autoFilter ref="A1:D78" xr:uid="{0A075F07-BE99-4022-9F2C-8C5975DA7C61}"/>
  <sortState xmlns:xlrd2="http://schemas.microsoft.com/office/spreadsheetml/2017/richdata2" ref="A2:D78">
    <sortCondition ref="A2:A78"/>
  </sortState>
  <tableColumns count="4">
    <tableColumn id="1" xr3:uid="{13A18A1D-7EDF-42A9-8DD0-385FF930C395}" uniqueName="1" name="Name of Recipient" queryTableFieldId="1" dataDxfId="32"/>
    <tableColumn id="2" xr3:uid="{50C94FCD-12EE-4712-8F44-032FC8B826C0}" uniqueName="2" name="Country" queryTableFieldId="2" dataDxfId="31"/>
    <tableColumn id="3" xr3:uid="{8B4950AC-478A-4233-9F95-7CA480A5E843}" uniqueName="3" name="Summary of Activities" queryTableFieldId="3" dataDxfId="30"/>
    <tableColumn id="4" xr3:uid="{8004796A-D35F-4CA9-A3BE-F8DA151942F6}" uniqueName="4" name="Contract value_x000a_on Copernicus_x000a_2021 (€)" queryTableFieldId="4" dataDxfId="29"/>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238FF63-7808-417A-88F8-91968520453A}" name="Table_Table002__Page_2___4" displayName="Table_Table002__Page_2___4" ref="A79:D159" tableType="queryTable" headerRowCount="0" totalsRowShown="0">
  <tableColumns count="4">
    <tableColumn id="1" xr3:uid="{272447CA-45C8-4980-B439-7C8AE34D77D1}" uniqueName="1" name="Column1" queryTableFieldId="1" dataDxfId="28"/>
    <tableColumn id="2" xr3:uid="{801A5A8A-BFD6-4962-81D4-CC0F658C8A57}" uniqueName="2" name="Column2" queryTableFieldId="2" dataDxfId="27"/>
    <tableColumn id="3" xr3:uid="{756E033C-573C-4991-979F-8A1DE1DD07DB}" uniqueName="3" name="Column3" queryTableFieldId="3" dataDxfId="26"/>
    <tableColumn id="4" xr3:uid="{FD124364-3F81-4C8B-A077-AD3353DEC1F4}" uniqueName="4" name="Column4" queryTableFieldId="4" dataDxfId="25"/>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417078A-AB0B-4AD3-BBB8-BDC756CA9295}" name="Table_Table003__Page_3___3" displayName="Table_Table003__Page_3___3" ref="A160:D202" tableType="queryTable" headerRowCount="0" totalsRowShown="0">
  <tableColumns count="4">
    <tableColumn id="1" xr3:uid="{887B082C-927B-4418-9F13-34BB6A640D22}" uniqueName="1" name="Column1" queryTableFieldId="1" dataDxfId="24"/>
    <tableColumn id="2" xr3:uid="{7A0A66DC-E130-4068-8240-92616007CAAF}" uniqueName="2" name="Column2" queryTableFieldId="2" dataDxfId="23"/>
    <tableColumn id="3" xr3:uid="{2E00C2ED-4629-4E0F-A0A2-59057AD8A2B7}" uniqueName="3" name="Column3" queryTableFieldId="3" dataDxfId="22"/>
    <tableColumn id="4" xr3:uid="{97D260FB-DE91-4239-805D-2CE23B244373}" uniqueName="4" name="Column4" queryTableFieldId="4" dataDxfId="21"/>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DF11-DD85-471B-99EA-C4F1ADD00219}" name="Table_Table001__Page_1___6" displayName="Table_Table001__Page_1___6" ref="A203:D224" tableType="queryTable" headerRowCount="0" totalsRowShown="0">
  <tableColumns count="4">
    <tableColumn id="1" xr3:uid="{B494B0FA-C3D5-4FB7-9AEE-7BB2A1FAF794}" uniqueName="1" name="Column1" queryTableFieldId="1" dataDxfId="20"/>
    <tableColumn id="2" xr3:uid="{B76EFF80-911A-4236-92D0-24C276CD0F8F}" uniqueName="2" name="Column2" queryTableFieldId="2" dataDxfId="19"/>
    <tableColumn id="3" xr3:uid="{94E5F6B8-92CA-4844-A7EA-D1E3C26FBA59}" uniqueName="3" name="Column3" queryTableFieldId="3" dataDxfId="18"/>
    <tableColumn id="4" xr3:uid="{2F4D2C57-DA85-4C89-8CFF-D15EEE42BE64}" uniqueName="4" name="Column4" queryTableFieldId="4" dataDxfId="17"/>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F22CEDC-254D-446F-9928-77D71A2BE650}" name="Table_Table001__Page_1___7" displayName="Table_Table001__Page_1___7" ref="A1:D84" tableType="queryTable" totalsRowShown="0" headerRowDxfId="16">
  <autoFilter ref="A1:D84" xr:uid="{8F22CEDC-254D-446F-9928-77D71A2BE650}"/>
  <tableColumns count="4">
    <tableColumn id="1" xr3:uid="{2622C6F4-BD3B-4F2B-BA36-15A45DFBE5E7}" uniqueName="1" name="Name of Recipient" queryTableFieldId="1" dataDxfId="15"/>
    <tableColumn id="2" xr3:uid="{9816E81A-72FE-4644-9BE3-24FE6F7C3D09}" uniqueName="2" name="Country" queryTableFieldId="2" dataDxfId="14"/>
    <tableColumn id="3" xr3:uid="{2F10B26B-C041-4EFA-AC84-C95F1C72E589}" uniqueName="3" name="Summary of Activities" queryTableFieldId="3" dataDxfId="13"/>
    <tableColumn id="6" xr3:uid="{B963678E-3D96-40BD-A866-22E2665485C6}" uniqueName="6" name="Contract value_x000a_on Copernicus_x000a_2022 (€)" queryTableFieldId="6" dataDxfId="12"/>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2EE0F83-B320-4A76-96F1-9267518F1347}" name="Table_Table002__Page_2___5" displayName="Table_Table002__Page_2___5" ref="A85:D170" tableType="queryTable" headerRowCount="0" totalsRowShown="0">
  <tableColumns count="4">
    <tableColumn id="1" xr3:uid="{0A6F361D-30AC-45F4-A08F-381305D9553C}" uniqueName="1" name="Column1" queryTableFieldId="1" dataDxfId="11"/>
    <tableColumn id="2" xr3:uid="{21A6CA80-4FDA-48A3-A3AD-36623B1B604D}" uniqueName="2" name="Column2" queryTableFieldId="2" dataDxfId="10"/>
    <tableColumn id="3" xr3:uid="{3655100E-3ADD-48FF-A17A-2C5739C478CE}" uniqueName="3" name="Column3" queryTableFieldId="3" dataDxfId="9"/>
    <tableColumn id="4" xr3:uid="{15B52919-A5A4-4A54-BA62-2EB536F8D1DA}" uniqueName="4" name="Column4" queryTableFieldId="4" dataDxfId="8"/>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AE93C84-3DFD-4C27-9D87-1C9FD7AEE14C}" name="Table_Table003__Page_3___4" displayName="Table_Table003__Page_3___4" ref="A171:D256" tableType="queryTable" headerRowCount="0" totalsRowShown="0">
  <tableColumns count="4">
    <tableColumn id="1" xr3:uid="{E9A2F64B-73CB-47CE-9934-46620EF64C38}" uniqueName="1" name="Column1" queryTableFieldId="1" dataDxfId="7"/>
    <tableColumn id="2" xr3:uid="{4AFD9345-04D3-4A2E-A1C1-12FEF5178FB9}" uniqueName="2" name="Column2" queryTableFieldId="2" dataDxfId="6"/>
    <tableColumn id="5" xr3:uid="{33C01A87-A875-4FE9-A0A5-F94B4A80FD38}" uniqueName="5" name="Column5" queryTableFieldId="5" dataDxfId="5"/>
    <tableColumn id="8" xr3:uid="{DC7FA11B-97B9-498C-BE53-1C785767B6D4}" uniqueName="8" name="Column8" queryTableFieldId="8" dataDxfId="4"/>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119A6B-B782-4DFE-A23C-CCE916368BE3}" name="Table_Table004__Page_4___2" displayName="Table_Table004__Page_4___2" ref="A257:D334" tableType="queryTable" headerRowCount="0" totalsRowShown="0">
  <tableColumns count="4">
    <tableColumn id="1" xr3:uid="{8F082ED6-A709-46F7-BC54-DC252B4949B5}" uniqueName="1" name="Column1" queryTableFieldId="1" dataDxfId="3"/>
    <tableColumn id="2" xr3:uid="{FDFB3E30-323C-4931-B4B2-5D98D426DFE5}" uniqueName="2" name="Column2" queryTableFieldId="2" dataDxfId="2"/>
    <tableColumn id="3" xr3:uid="{E53CF937-1870-4107-9566-D071F3F8CB9A}" uniqueName="3" name="Column3" queryTableFieldId="3" dataDxfId="1"/>
    <tableColumn id="4" xr3:uid="{B55790BF-02DE-4A7F-8DC1-7F3FD55B4AE1}" uniqueName="4" name="Column4" queryTableFieldId="4"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competition-cases.ec.europa.eu/cases/M.1879" TargetMode="External"/><Relationship Id="rId18" Type="http://schemas.openxmlformats.org/officeDocument/2006/relationships/hyperlink" Target="https://competition-cases.ec.europa.eu/cases/M.2488" TargetMode="External"/><Relationship Id="rId26" Type="http://schemas.openxmlformats.org/officeDocument/2006/relationships/hyperlink" Target="https://competition-cases.ec.europa.eu/cases/M.4241" TargetMode="External"/><Relationship Id="rId39" Type="http://schemas.openxmlformats.org/officeDocument/2006/relationships/hyperlink" Target="https://competition-cases.ec.europa.eu/cases/M.6581" TargetMode="External"/><Relationship Id="rId21" Type="http://schemas.openxmlformats.org/officeDocument/2006/relationships/hyperlink" Target="https://competition-cases.ec.europa.eu/cases/M.3217" TargetMode="External"/><Relationship Id="rId34" Type="http://schemas.openxmlformats.org/officeDocument/2006/relationships/hyperlink" Target="https://competition-cases.ec.europa.eu/cases/M.5357" TargetMode="External"/><Relationship Id="rId42" Type="http://schemas.openxmlformats.org/officeDocument/2006/relationships/hyperlink" Target="https://competition-cases.ec.europa.eu/cases/M.7353" TargetMode="External"/><Relationship Id="rId47" Type="http://schemas.openxmlformats.org/officeDocument/2006/relationships/hyperlink" Target="https://competition-cases.ec.europa.eu/cases/M.8814" TargetMode="External"/><Relationship Id="rId50" Type="http://schemas.openxmlformats.org/officeDocument/2006/relationships/hyperlink" Target="https://competition-cases.ec.europa.eu/cases/M.10506" TargetMode="External"/><Relationship Id="rId7" Type="http://schemas.openxmlformats.org/officeDocument/2006/relationships/hyperlink" Target="https://competition-cases.ec.europa.eu/cases/M.1309" TargetMode="External"/><Relationship Id="rId2" Type="http://schemas.openxmlformats.org/officeDocument/2006/relationships/hyperlink" Target="https://competition-cases.ec.europa.eu/cases/M.178" TargetMode="External"/><Relationship Id="rId16" Type="http://schemas.openxmlformats.org/officeDocument/2006/relationships/hyperlink" Target="https://competition-cases.ec.europa.eu/cases/M.2183" TargetMode="External"/><Relationship Id="rId29" Type="http://schemas.openxmlformats.org/officeDocument/2006/relationships/hyperlink" Target="https://competition-cases.ec.europa.eu/cases/M.4403" TargetMode="External"/><Relationship Id="rId11" Type="http://schemas.openxmlformats.org/officeDocument/2006/relationships/hyperlink" Target="https://competition-cases.ec.europa.eu/cases/M.1636" TargetMode="External"/><Relationship Id="rId24" Type="http://schemas.openxmlformats.org/officeDocument/2006/relationships/hyperlink" Target="https://competition-cases.ec.europa.eu/cases/M.3680" TargetMode="External"/><Relationship Id="rId32" Type="http://schemas.openxmlformats.org/officeDocument/2006/relationships/hyperlink" Target="https://competition-cases.ec.europa.eu/cases/M.5151" TargetMode="External"/><Relationship Id="rId37" Type="http://schemas.openxmlformats.org/officeDocument/2006/relationships/hyperlink" Target="https://competition-cases.ec.europa.eu/cases/M.5667" TargetMode="External"/><Relationship Id="rId40" Type="http://schemas.openxmlformats.org/officeDocument/2006/relationships/hyperlink" Target="https://competition-cases.ec.europa.eu/cases/M.6844" TargetMode="External"/><Relationship Id="rId45" Type="http://schemas.openxmlformats.org/officeDocument/2006/relationships/hyperlink" Target="https://competition-cases.ec.europa.eu/cases/M.8425" TargetMode="External"/><Relationship Id="rId5" Type="http://schemas.openxmlformats.org/officeDocument/2006/relationships/hyperlink" Target="https://competition-cases.ec.europa.eu/cases/M.1185" TargetMode="External"/><Relationship Id="rId15" Type="http://schemas.openxmlformats.org/officeDocument/2006/relationships/hyperlink" Target="https://competition-cases.ec.europa.eu/cases/M.2168" TargetMode="External"/><Relationship Id="rId23" Type="http://schemas.openxmlformats.org/officeDocument/2006/relationships/hyperlink" Target="https://competition-cases.ec.europa.eu/cases/M.3621" TargetMode="External"/><Relationship Id="rId28" Type="http://schemas.openxmlformats.org/officeDocument/2006/relationships/hyperlink" Target="https://competition-cases.ec.europa.eu/cases/M.4551" TargetMode="External"/><Relationship Id="rId36" Type="http://schemas.openxmlformats.org/officeDocument/2006/relationships/hyperlink" Target="https://competition-cases.ec.europa.eu/cases/M.5426" TargetMode="External"/><Relationship Id="rId49" Type="http://schemas.openxmlformats.org/officeDocument/2006/relationships/hyperlink" Target="https://competition-cases.ec.europa.eu/cases/M.8658" TargetMode="External"/><Relationship Id="rId10" Type="http://schemas.openxmlformats.org/officeDocument/2006/relationships/hyperlink" Target="https://competition-cases.ec.europa.eu/cases/M.1786" TargetMode="External"/><Relationship Id="rId19" Type="http://schemas.openxmlformats.org/officeDocument/2006/relationships/hyperlink" Target="https://competition-cases.ec.europa.eu/cases/M.2438" TargetMode="External"/><Relationship Id="rId31" Type="http://schemas.openxmlformats.org/officeDocument/2006/relationships/hyperlink" Target="https://competition-cases.ec.europa.eu/cases/M.5060" TargetMode="External"/><Relationship Id="rId44" Type="http://schemas.openxmlformats.org/officeDocument/2006/relationships/hyperlink" Target="https://competition-cases.ec.europa.eu/cases/M.7724" TargetMode="External"/><Relationship Id="rId4" Type="http://schemas.openxmlformats.org/officeDocument/2006/relationships/hyperlink" Target="https://competition-cases.ec.europa.eu/cases/M.877" TargetMode="External"/><Relationship Id="rId9" Type="http://schemas.openxmlformats.org/officeDocument/2006/relationships/hyperlink" Target="https://competition-cases.ec.europa.eu/cases/M.1601" TargetMode="External"/><Relationship Id="rId14" Type="http://schemas.openxmlformats.org/officeDocument/2006/relationships/hyperlink" Target="https://competition-cases.ec.europa.eu/cases/M.2061" TargetMode="External"/><Relationship Id="rId22" Type="http://schemas.openxmlformats.org/officeDocument/2006/relationships/hyperlink" Target="https://competition-cases.ec.europa.eu/cases/M.3220" TargetMode="External"/><Relationship Id="rId27" Type="http://schemas.openxmlformats.org/officeDocument/2006/relationships/hyperlink" Target="https://competition-cases.ec.europa.eu/cases/M.4386" TargetMode="External"/><Relationship Id="rId30" Type="http://schemas.openxmlformats.org/officeDocument/2006/relationships/hyperlink" Target="https://competition-cases.ec.europa.eu/cases/M.4796" TargetMode="External"/><Relationship Id="rId35" Type="http://schemas.openxmlformats.org/officeDocument/2006/relationships/hyperlink" Target="https://competition-cases.ec.europa.eu/cases/M.5168" TargetMode="External"/><Relationship Id="rId43" Type="http://schemas.openxmlformats.org/officeDocument/2006/relationships/hyperlink" Target="https://competition-cases.ec.europa.eu/cases/M.7676" TargetMode="External"/><Relationship Id="rId48" Type="http://schemas.openxmlformats.org/officeDocument/2006/relationships/hyperlink" Target="https://competition-cases.ec.europa.eu/cases/M.8858" TargetMode="External"/><Relationship Id="rId8" Type="http://schemas.openxmlformats.org/officeDocument/2006/relationships/hyperlink" Target="https://competition-cases.ec.europa.eu/cases/M.1438" TargetMode="External"/><Relationship Id="rId51" Type="http://schemas.openxmlformats.org/officeDocument/2006/relationships/printerSettings" Target="../printerSettings/printerSettings2.bin"/><Relationship Id="rId3" Type="http://schemas.openxmlformats.org/officeDocument/2006/relationships/hyperlink" Target="https://competition-cases.ec.europa.eu/cases/M.237" TargetMode="External"/><Relationship Id="rId12" Type="http://schemas.openxmlformats.org/officeDocument/2006/relationships/hyperlink" Target="https://competition-cases.ec.europa.eu/cases/M.1745" TargetMode="External"/><Relationship Id="rId17" Type="http://schemas.openxmlformats.org/officeDocument/2006/relationships/hyperlink" Target="https://competition-cases.ec.europa.eu/cases/M.2437" TargetMode="External"/><Relationship Id="rId25" Type="http://schemas.openxmlformats.org/officeDocument/2006/relationships/hyperlink" Target="https://competition-cases.ec.europa.eu/cases/M.3856" TargetMode="External"/><Relationship Id="rId33" Type="http://schemas.openxmlformats.org/officeDocument/2006/relationships/hyperlink" Target="https://competition-cases.ec.europa.eu/cases/M.5276" TargetMode="External"/><Relationship Id="rId38" Type="http://schemas.openxmlformats.org/officeDocument/2006/relationships/hyperlink" Target="https://competition-cases.ec.europa.eu/cases/M.5668" TargetMode="External"/><Relationship Id="rId46" Type="http://schemas.openxmlformats.org/officeDocument/2006/relationships/hyperlink" Target="https://competition-cases.ec.europa.eu/cases/M.8688" TargetMode="External"/><Relationship Id="rId20" Type="http://schemas.openxmlformats.org/officeDocument/2006/relationships/hyperlink" Target="https://competition-cases.ec.europa.eu/cases/M.2949" TargetMode="External"/><Relationship Id="rId41" Type="http://schemas.openxmlformats.org/officeDocument/2006/relationships/hyperlink" Target="https://competition-cases.ec.europa.eu/cases/M.7144" TargetMode="External"/><Relationship Id="rId1" Type="http://schemas.openxmlformats.org/officeDocument/2006/relationships/hyperlink" Target="https://competition-cases.ec.europa.eu/cases/M.53" TargetMode="External"/><Relationship Id="rId6" Type="http://schemas.openxmlformats.org/officeDocument/2006/relationships/hyperlink" Target="https://competition-cases.ec.europa.eu/cases/M.1198"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4" Type="http://schemas.openxmlformats.org/officeDocument/2006/relationships/table" Target="../tables/table23.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 Id="rId4"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4"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56AB-CAAB-4A49-8FB7-75238DA010D6}">
  <dimension ref="A1:AG90"/>
  <sheetViews>
    <sheetView tabSelected="1" topLeftCell="A60" workbookViewId="0">
      <selection activeCell="C56" sqref="C56"/>
    </sheetView>
  </sheetViews>
  <sheetFormatPr defaultColWidth="8.85546875" defaultRowHeight="14.45"/>
  <cols>
    <col min="1" max="1" width="23.42578125" style="34" customWidth="1"/>
    <col min="2" max="4" width="14.28515625" style="38" customWidth="1"/>
    <col min="5" max="5" width="13.140625" style="38" customWidth="1"/>
    <col min="6" max="6" width="13.140625" style="39" customWidth="1"/>
    <col min="7" max="7" width="13.140625" style="38" customWidth="1"/>
    <col min="8" max="9" width="13.140625" style="74" customWidth="1"/>
    <col min="10" max="19" width="13.140625" style="68" customWidth="1"/>
    <col min="20" max="29" width="13.140625" style="79" customWidth="1"/>
    <col min="30" max="31" width="20" style="38" customWidth="1"/>
    <col min="32" max="32" width="28.42578125" style="38" bestFit="1" customWidth="1"/>
    <col min="33" max="33" width="19" style="38" customWidth="1"/>
    <col min="34" max="16384" width="8.85546875" style="38"/>
  </cols>
  <sheetData>
    <row r="1" spans="1:33" s="54" customFormat="1">
      <c r="A1" s="53" t="s">
        <v>0</v>
      </c>
      <c r="B1" s="54" t="s">
        <v>1</v>
      </c>
      <c r="C1" s="54" t="s">
        <v>2</v>
      </c>
      <c r="D1" s="54" t="s">
        <v>3</v>
      </c>
      <c r="E1" s="54" t="s">
        <v>4</v>
      </c>
      <c r="F1" s="55" t="s">
        <v>5</v>
      </c>
      <c r="G1" s="54" t="s">
        <v>6</v>
      </c>
      <c r="H1" s="71" t="s">
        <v>7</v>
      </c>
      <c r="I1" s="71" t="s">
        <v>8</v>
      </c>
      <c r="J1" s="62" t="s">
        <v>9</v>
      </c>
      <c r="K1" s="62" t="s">
        <v>10</v>
      </c>
      <c r="L1" s="62" t="s">
        <v>11</v>
      </c>
      <c r="M1" s="62" t="s">
        <v>12</v>
      </c>
      <c r="N1" s="62" t="s">
        <v>13</v>
      </c>
      <c r="O1" s="62" t="s">
        <v>14</v>
      </c>
      <c r="P1" s="62" t="s">
        <v>15</v>
      </c>
      <c r="Q1" s="62" t="s">
        <v>15</v>
      </c>
      <c r="R1" s="62" t="s">
        <v>16</v>
      </c>
      <c r="S1" s="62" t="s">
        <v>17</v>
      </c>
      <c r="T1" s="75" t="s">
        <v>18</v>
      </c>
      <c r="U1" s="75" t="s">
        <v>19</v>
      </c>
      <c r="V1" s="75" t="s">
        <v>20</v>
      </c>
      <c r="W1" s="75" t="s">
        <v>21</v>
      </c>
      <c r="X1" s="75" t="s">
        <v>22</v>
      </c>
      <c r="Y1" s="75" t="s">
        <v>23</v>
      </c>
      <c r="Z1" s="75" t="s">
        <v>24</v>
      </c>
      <c r="AA1" s="75" t="s">
        <v>25</v>
      </c>
      <c r="AB1" s="75" t="s">
        <v>26</v>
      </c>
      <c r="AC1" s="75" t="s">
        <v>27</v>
      </c>
      <c r="AD1" s="54" t="s">
        <v>28</v>
      </c>
      <c r="AE1" s="54" t="s">
        <v>29</v>
      </c>
      <c r="AF1" s="54" t="s">
        <v>30</v>
      </c>
      <c r="AG1" s="54" t="s">
        <v>31</v>
      </c>
    </row>
    <row r="2" spans="1:33" s="37" customFormat="1" ht="39.6" customHeight="1" thickBot="1">
      <c r="A2" s="42" t="s">
        <v>32</v>
      </c>
      <c r="B2" s="43" t="s">
        <v>33</v>
      </c>
      <c r="C2" s="43"/>
      <c r="D2" s="43"/>
      <c r="E2" s="43">
        <v>7</v>
      </c>
      <c r="F2" s="44"/>
      <c r="G2" s="44"/>
      <c r="H2" s="72"/>
      <c r="I2" s="72"/>
      <c r="J2" s="63"/>
      <c r="K2" s="63"/>
      <c r="L2" s="63"/>
      <c r="M2" s="63"/>
      <c r="N2" s="63"/>
      <c r="O2" s="63"/>
      <c r="P2" s="63"/>
      <c r="Q2" s="63"/>
      <c r="R2" s="63"/>
      <c r="S2" s="63"/>
      <c r="T2" s="76"/>
      <c r="U2" s="76"/>
      <c r="V2" s="76"/>
      <c r="W2" s="76"/>
      <c r="X2" s="76"/>
      <c r="Y2" s="76"/>
      <c r="Z2" s="76"/>
      <c r="AA2" s="76"/>
      <c r="AB2" s="76"/>
      <c r="AC2" s="76"/>
      <c r="AD2" s="43"/>
      <c r="AE2" s="43"/>
      <c r="AF2" s="43"/>
      <c r="AG2" s="43"/>
    </row>
    <row r="3" spans="1:33" ht="39.6" customHeight="1">
      <c r="A3" s="45" t="s">
        <v>34</v>
      </c>
      <c r="B3" s="46" t="s">
        <v>35</v>
      </c>
      <c r="C3" s="46">
        <v>306.2</v>
      </c>
      <c r="D3" s="46"/>
      <c r="E3" s="46">
        <v>2</v>
      </c>
      <c r="F3" s="47">
        <f>Ownership!D235/Ownership!D236</f>
        <v>5.232982382987595E-2</v>
      </c>
      <c r="G3" s="47">
        <f>Ownership!E235/Ownership!E236</f>
        <v>0.73739148432557866</v>
      </c>
      <c r="H3" s="72">
        <f>F3*C3</f>
        <v>16.023392056708015</v>
      </c>
      <c r="I3" s="72">
        <f>G3*C3</f>
        <v>225.78927250049219</v>
      </c>
      <c r="J3" s="64">
        <f>(Ownership!D184)/Ownership!D236</f>
        <v>5.232982382987595E-2</v>
      </c>
      <c r="K3" s="64">
        <f>Ownership!E230/Ownership!E236</f>
        <v>0.49179961141720663</v>
      </c>
      <c r="L3" s="64">
        <f>Ownership!D231/Ownership!D236</f>
        <v>0</v>
      </c>
      <c r="M3" s="64">
        <f>Ownership!E231/Ownership!E236</f>
        <v>6.2247944456159152E-2</v>
      </c>
      <c r="N3" s="64">
        <f>Ownership!D232/Ownership!D236</f>
        <v>0</v>
      </c>
      <c r="O3" s="64">
        <f>Ownership!E232/Ownership!E236</f>
        <v>1.7507234378294764E-2</v>
      </c>
      <c r="P3" s="64">
        <f>Ownership!D233/Ownership!D236</f>
        <v>0</v>
      </c>
      <c r="Q3" s="64">
        <f>Ownership!E233/Ownership!E236</f>
        <v>3.1123972228079576E-2</v>
      </c>
      <c r="R3" s="64">
        <f>Ownership!D234/Ownership!D236</f>
        <v>0</v>
      </c>
      <c r="S3" s="64">
        <f>Ownership!E234/Ownership!E236</f>
        <v>9.4020332772323731E-2</v>
      </c>
      <c r="T3" s="76">
        <f>J3*C3</f>
        <v>16.023392056708015</v>
      </c>
      <c r="U3" s="76">
        <f>K3*C3</f>
        <v>150.58904101594865</v>
      </c>
      <c r="V3" s="76">
        <f>L3*C3</f>
        <v>0</v>
      </c>
      <c r="W3" s="76">
        <f>M3*C3</f>
        <v>19.060320592475932</v>
      </c>
      <c r="X3" s="76">
        <f>N3*C3</f>
        <v>0</v>
      </c>
      <c r="Y3" s="76">
        <f>O3*C3</f>
        <v>5.3607151666338568</v>
      </c>
      <c r="Z3" s="76">
        <f>P3*C3</f>
        <v>0</v>
      </c>
      <c r="AA3" s="76">
        <f>Q3*C3</f>
        <v>9.5301602962379661</v>
      </c>
      <c r="AB3" s="76">
        <f>R3*C3</f>
        <v>0</v>
      </c>
      <c r="AC3" s="76">
        <f>S3*C3</f>
        <v>28.789025894885526</v>
      </c>
      <c r="AD3" s="46" t="s">
        <v>36</v>
      </c>
      <c r="AE3" s="46" t="s">
        <v>35</v>
      </c>
      <c r="AF3" s="46">
        <v>32468</v>
      </c>
      <c r="AG3" s="46">
        <v>49</v>
      </c>
    </row>
    <row r="4" spans="1:33" ht="39.6" customHeight="1" thickBot="1">
      <c r="A4" s="45" t="s">
        <v>37</v>
      </c>
      <c r="B4" s="46" t="s">
        <v>35</v>
      </c>
      <c r="C4" s="46"/>
      <c r="D4" s="46">
        <v>1773.2</v>
      </c>
      <c r="E4" s="46">
        <v>2</v>
      </c>
      <c r="F4" s="47">
        <f>Ownership!D235/Ownership!D236</f>
        <v>5.232982382987595E-2</v>
      </c>
      <c r="G4" s="47">
        <f>Ownership!E235/Ownership!E236</f>
        <v>0.73739148432557866</v>
      </c>
      <c r="H4" s="72">
        <f>F4*D4</f>
        <v>92.79124361513604</v>
      </c>
      <c r="I4" s="72">
        <f>G4*D4</f>
        <v>1307.5425800061162</v>
      </c>
      <c r="J4" s="64">
        <f>(Ownership!D184)/Ownership!D236</f>
        <v>5.232982382987595E-2</v>
      </c>
      <c r="K4" s="64">
        <f>Ownership!E230/Ownership!E236</f>
        <v>0.49179961141720663</v>
      </c>
      <c r="L4" s="64">
        <f>Ownership!D231/Ownership!D236</f>
        <v>0</v>
      </c>
      <c r="M4" s="64">
        <f>Ownership!E231/Ownership!E236</f>
        <v>6.2247944456159152E-2</v>
      </c>
      <c r="N4" s="64">
        <f>Ownership!D232/Ownership!D236</f>
        <v>0</v>
      </c>
      <c r="O4" s="64">
        <f>Ownership!E232/Ownership!E236</f>
        <v>1.7507234378294764E-2</v>
      </c>
      <c r="P4" s="64">
        <f>Ownership!D233/Ownership!D236</f>
        <v>0</v>
      </c>
      <c r="Q4" s="64">
        <f>Ownership!E233/Ownership!E236</f>
        <v>3.1123972228079576E-2</v>
      </c>
      <c r="R4" s="64">
        <f>Ownership!D234/Ownership!D236</f>
        <v>0</v>
      </c>
      <c r="S4" s="64">
        <f>Ownership!E234/Ownership!E236</f>
        <v>9.4020332772323731E-2</v>
      </c>
      <c r="T4" s="76">
        <f>J4*D4</f>
        <v>92.79124361513604</v>
      </c>
      <c r="U4" s="76">
        <f>K4*D4</f>
        <v>872.05907096499084</v>
      </c>
      <c r="V4" s="76">
        <f>L4*D4</f>
        <v>0</v>
      </c>
      <c r="W4" s="76">
        <f>M4*D4</f>
        <v>110.37805510966142</v>
      </c>
      <c r="X4" s="76">
        <f>N4*D4</f>
        <v>0</v>
      </c>
      <c r="Y4" s="76">
        <f>O4*D4</f>
        <v>31.043827999592274</v>
      </c>
      <c r="Z4" s="76">
        <f>P4*D4</f>
        <v>0</v>
      </c>
      <c r="AA4" s="76">
        <f>Q4*D4</f>
        <v>55.189027554830709</v>
      </c>
      <c r="AB4" s="76">
        <f>R4*D4</f>
        <v>0</v>
      </c>
      <c r="AC4" s="76">
        <f>S4*D4</f>
        <v>166.71685407188446</v>
      </c>
      <c r="AD4" s="46" t="s">
        <v>36</v>
      </c>
      <c r="AE4" s="46" t="s">
        <v>35</v>
      </c>
      <c r="AF4" s="46">
        <v>32468</v>
      </c>
      <c r="AG4" s="46">
        <v>49</v>
      </c>
    </row>
    <row r="5" spans="1:33" ht="39.6" customHeight="1" thickBot="1">
      <c r="A5" s="45" t="s">
        <v>38</v>
      </c>
      <c r="B5" s="46" t="s">
        <v>39</v>
      </c>
      <c r="C5" s="46">
        <v>4645.8999999999996</v>
      </c>
      <c r="D5" s="46"/>
      <c r="E5" s="46">
        <v>2</v>
      </c>
      <c r="F5" s="47">
        <f>Ownership!D110/Ownership!D111</f>
        <v>0</v>
      </c>
      <c r="G5" s="47">
        <f>Ownership!E84/Ownership!E85</f>
        <v>0.13841121319240027</v>
      </c>
      <c r="H5" s="72">
        <f>F5*C5</f>
        <v>0</v>
      </c>
      <c r="I5" s="72">
        <f>G5*C5</f>
        <v>643.0446553705724</v>
      </c>
      <c r="J5" s="64">
        <f>Ownership!D79/Ownership!D85</f>
        <v>9.275452841973765E-2</v>
      </c>
      <c r="K5" s="64">
        <f>Ownership!E79/Ownership!E85</f>
        <v>0.13841121319240027</v>
      </c>
      <c r="L5" s="64">
        <f>Ownership!D80/Ownership!D85</f>
        <v>0</v>
      </c>
      <c r="M5" s="64">
        <f>Ownership!E80/Ownership!E85</f>
        <v>0</v>
      </c>
      <c r="N5" s="64">
        <f>Ownership!D81/Ownership!D85</f>
        <v>0</v>
      </c>
      <c r="O5" s="64">
        <f>Ownership!E81/Ownership!E85</f>
        <v>0</v>
      </c>
      <c r="P5" s="64">
        <f>Ownership!D82/Ownership!D85</f>
        <v>0</v>
      </c>
      <c r="Q5" s="64">
        <f>Ownership!E82/Ownership!E85</f>
        <v>0</v>
      </c>
      <c r="R5" s="64">
        <f>Ownership!D83/Ownership!D85</f>
        <v>0</v>
      </c>
      <c r="S5" s="64">
        <f>Ownership!E83/Ownership!E85</f>
        <v>0</v>
      </c>
      <c r="T5" s="76">
        <f>J5*C5</f>
        <v>430.92826358525912</v>
      </c>
      <c r="U5" s="76">
        <f>K5*C5</f>
        <v>643.0446553705724</v>
      </c>
      <c r="V5" s="76">
        <f>L5*C5</f>
        <v>0</v>
      </c>
      <c r="W5" s="76">
        <f>M5*C5</f>
        <v>0</v>
      </c>
      <c r="X5" s="76">
        <f>N5*C5</f>
        <v>0</v>
      </c>
      <c r="Y5" s="76">
        <f>O5*C5</f>
        <v>0</v>
      </c>
      <c r="Z5" s="76">
        <f>P5*C5</f>
        <v>0</v>
      </c>
      <c r="AA5" s="76">
        <f>Q5*C5</f>
        <v>0</v>
      </c>
      <c r="AB5" s="76">
        <f>R5*C5</f>
        <v>0</v>
      </c>
      <c r="AC5" s="76">
        <f>S5*C5</f>
        <v>0</v>
      </c>
      <c r="AD5" s="46" t="s">
        <v>40</v>
      </c>
      <c r="AE5" s="46" t="s">
        <v>41</v>
      </c>
      <c r="AF5" s="46">
        <v>63179</v>
      </c>
      <c r="AG5" s="46">
        <v>12</v>
      </c>
    </row>
    <row r="6" spans="1:33" ht="39.6" customHeight="1" thickBot="1">
      <c r="A6" s="45" t="s">
        <v>42</v>
      </c>
      <c r="B6" s="46" t="s">
        <v>41</v>
      </c>
      <c r="C6" s="46">
        <v>62.3</v>
      </c>
      <c r="D6" s="46"/>
      <c r="E6" s="46">
        <v>1</v>
      </c>
      <c r="F6" s="47">
        <f>Ownership!D110/Ownership!D111</f>
        <v>0</v>
      </c>
      <c r="G6" s="47">
        <f>Ownership!E84/Ownership!E85</f>
        <v>0.13841121319240027</v>
      </c>
      <c r="H6" s="72">
        <f>F6*C6</f>
        <v>0</v>
      </c>
      <c r="I6" s="72">
        <f>G6*C6</f>
        <v>8.6230185818865355</v>
      </c>
      <c r="J6" s="64">
        <f>Ownership!D79/Ownership!D85</f>
        <v>9.275452841973765E-2</v>
      </c>
      <c r="K6" s="64">
        <f>Ownership!E79/Ownership!E85</f>
        <v>0.13841121319240027</v>
      </c>
      <c r="L6" s="64">
        <f>Ownership!D80/Ownership!D85</f>
        <v>0</v>
      </c>
      <c r="M6" s="64">
        <f>Ownership!E80/Ownership!E85</f>
        <v>0</v>
      </c>
      <c r="N6" s="64">
        <f>Ownership!D81/Ownership!D85</f>
        <v>0</v>
      </c>
      <c r="O6" s="64">
        <f>Ownership!E81/Ownership!E85</f>
        <v>0</v>
      </c>
      <c r="P6" s="64">
        <f>Ownership!E81/Ownership!E85</f>
        <v>0</v>
      </c>
      <c r="Q6" s="64">
        <f>Ownership!E81/Ownership!E85</f>
        <v>0</v>
      </c>
      <c r="R6" s="64">
        <f>Ownership!E81/Ownership!E85</f>
        <v>0</v>
      </c>
      <c r="S6" s="64">
        <f>Ownership!E81/Ownership!E85</f>
        <v>0</v>
      </c>
      <c r="T6" s="76">
        <f>J6*C6</f>
        <v>5.7786071205496556</v>
      </c>
      <c r="U6" s="76">
        <f>K6*C6</f>
        <v>8.6230185818865355</v>
      </c>
      <c r="V6" s="76">
        <f>L6*C6</f>
        <v>0</v>
      </c>
      <c r="W6" s="76">
        <f>M6*C6</f>
        <v>0</v>
      </c>
      <c r="X6" s="76">
        <f>N6*C6</f>
        <v>0</v>
      </c>
      <c r="Y6" s="76">
        <f>O6*C6</f>
        <v>0</v>
      </c>
      <c r="Z6" s="76">
        <f>P6*C6</f>
        <v>0</v>
      </c>
      <c r="AA6" s="76">
        <f>Q6*C6</f>
        <v>0</v>
      </c>
      <c r="AB6" s="76">
        <f>R6*C6</f>
        <v>0</v>
      </c>
      <c r="AC6" s="76">
        <f>S6*C6</f>
        <v>0</v>
      </c>
      <c r="AD6" s="56" t="s">
        <v>40</v>
      </c>
      <c r="AE6" s="46" t="s">
        <v>41</v>
      </c>
      <c r="AF6" s="46">
        <v>63179</v>
      </c>
      <c r="AG6" s="46">
        <v>12</v>
      </c>
    </row>
    <row r="7" spans="1:33" ht="39.6" customHeight="1" thickBot="1">
      <c r="A7" s="45" t="s">
        <v>43</v>
      </c>
      <c r="B7" s="46" t="s">
        <v>44</v>
      </c>
      <c r="C7" s="46">
        <v>3769.6</v>
      </c>
      <c r="D7" s="46"/>
      <c r="E7" s="46">
        <v>1</v>
      </c>
      <c r="F7" s="47">
        <f>Ownership!D110/Ownership!D111</f>
        <v>0</v>
      </c>
      <c r="G7" s="47">
        <f>Ownership!E84/Ownership!E85</f>
        <v>0.13841121319240027</v>
      </c>
      <c r="H7" s="72">
        <f>F7*C7</f>
        <v>0</v>
      </c>
      <c r="I7" s="72">
        <f>G7*C7</f>
        <v>521.75490925007205</v>
      </c>
      <c r="J7" s="64">
        <f>Ownership!D79/Ownership!D85</f>
        <v>9.275452841973765E-2</v>
      </c>
      <c r="K7" s="64">
        <f>Ownership!E79/Ownership!E85</f>
        <v>0.13841121319240027</v>
      </c>
      <c r="L7" s="64">
        <f>Ownership!D80/Ownership!D85</f>
        <v>0</v>
      </c>
      <c r="M7" s="64">
        <f>Ownership!E80/Ownership!E85</f>
        <v>0</v>
      </c>
      <c r="N7" s="64">
        <f>Ownership!D81/Ownership!D85</f>
        <v>0</v>
      </c>
      <c r="O7" s="64">
        <f>Ownership!E81/Ownership!E85</f>
        <v>0</v>
      </c>
      <c r="P7" s="64">
        <f>Ownership!E81/Ownership!E85</f>
        <v>0</v>
      </c>
      <c r="Q7" s="64">
        <f>Ownership!E81/Ownership!E85</f>
        <v>0</v>
      </c>
      <c r="R7" s="64">
        <f>Ownership!E81/Ownership!E85</f>
        <v>0</v>
      </c>
      <c r="S7" s="64">
        <f>Ownership!E81/Ownership!E85</f>
        <v>0</v>
      </c>
      <c r="T7" s="76">
        <f>J7*$C$7</f>
        <v>349.64747033104305</v>
      </c>
      <c r="U7" s="76">
        <f>K7*$C$7</f>
        <v>521.75490925007205</v>
      </c>
      <c r="V7" s="76">
        <f>L7*$C$7</f>
        <v>0</v>
      </c>
      <c r="W7" s="76">
        <f t="shared" ref="W7:AC7" si="0">M7*$C$7</f>
        <v>0</v>
      </c>
      <c r="X7" s="76">
        <f t="shared" si="0"/>
        <v>0</v>
      </c>
      <c r="Y7" s="76">
        <f t="shared" si="0"/>
        <v>0</v>
      </c>
      <c r="Z7" s="76">
        <f t="shared" si="0"/>
        <v>0</v>
      </c>
      <c r="AA7" s="76">
        <f t="shared" si="0"/>
        <v>0</v>
      </c>
      <c r="AB7" s="76">
        <f t="shared" si="0"/>
        <v>0</v>
      </c>
      <c r="AC7" s="76">
        <f t="shared" si="0"/>
        <v>0</v>
      </c>
      <c r="AD7" s="46" t="s">
        <v>40</v>
      </c>
      <c r="AE7" s="46" t="s">
        <v>41</v>
      </c>
      <c r="AF7" s="46">
        <v>63179</v>
      </c>
      <c r="AG7" s="46">
        <v>12</v>
      </c>
    </row>
    <row r="8" spans="1:33" ht="39.6" customHeight="1" thickBot="1">
      <c r="A8" s="45" t="s">
        <v>45</v>
      </c>
      <c r="B8" s="46" t="s">
        <v>35</v>
      </c>
      <c r="C8" s="46">
        <v>3335.7</v>
      </c>
      <c r="D8" s="46"/>
      <c r="E8" s="46">
        <v>1</v>
      </c>
      <c r="F8" s="47">
        <f>Ownership!D110/Ownership!D111</f>
        <v>0</v>
      </c>
      <c r="G8" s="47">
        <f>Ownership!E84/Ownership!E85</f>
        <v>0.13841121319240027</v>
      </c>
      <c r="H8" s="72">
        <f>F8*C8</f>
        <v>0</v>
      </c>
      <c r="I8" s="72">
        <f>G8*C8</f>
        <v>461.69828384588953</v>
      </c>
      <c r="J8" s="64">
        <f>Ownership!D79/Ownership!D85</f>
        <v>9.275452841973765E-2</v>
      </c>
      <c r="K8" s="64">
        <f>Ownership!E79/Ownership!E85</f>
        <v>0.13841121319240027</v>
      </c>
      <c r="L8" s="64">
        <f>Ownership!D80/Ownership!D85</f>
        <v>0</v>
      </c>
      <c r="M8" s="64">
        <f>Ownership!E80/Ownership!E85</f>
        <v>0</v>
      </c>
      <c r="N8" s="64">
        <f>Ownership!D81/Ownership!D85</f>
        <v>0</v>
      </c>
      <c r="O8" s="64">
        <f>Ownership!E81/Ownership!E85</f>
        <v>0</v>
      </c>
      <c r="P8" s="64">
        <f>Ownership!E81/Ownership!E85</f>
        <v>0</v>
      </c>
      <c r="Q8" s="64">
        <f>Ownership!E81/Ownership!E85</f>
        <v>0</v>
      </c>
      <c r="R8" s="64">
        <f>Ownership!E81/Ownership!E85</f>
        <v>0</v>
      </c>
      <c r="S8" s="64">
        <f>Ownership!E81/Ownership!E85</f>
        <v>0</v>
      </c>
      <c r="T8" s="76">
        <f>J8*$C$8</f>
        <v>309.40128044971885</v>
      </c>
      <c r="U8" s="76">
        <f t="shared" ref="U8:AC8" si="1">K8*$C$8</f>
        <v>461.69828384588953</v>
      </c>
      <c r="V8" s="76">
        <f t="shared" si="1"/>
        <v>0</v>
      </c>
      <c r="W8" s="76">
        <f t="shared" si="1"/>
        <v>0</v>
      </c>
      <c r="X8" s="76">
        <f t="shared" si="1"/>
        <v>0</v>
      </c>
      <c r="Y8" s="76">
        <f t="shared" si="1"/>
        <v>0</v>
      </c>
      <c r="Z8" s="76">
        <f t="shared" si="1"/>
        <v>0</v>
      </c>
      <c r="AA8" s="76">
        <f t="shared" si="1"/>
        <v>0</v>
      </c>
      <c r="AB8" s="76">
        <f t="shared" si="1"/>
        <v>0</v>
      </c>
      <c r="AC8" s="76">
        <f t="shared" si="1"/>
        <v>0</v>
      </c>
      <c r="AD8" s="46" t="s">
        <v>40</v>
      </c>
      <c r="AE8" s="46" t="s">
        <v>41</v>
      </c>
      <c r="AF8" s="46">
        <v>63179</v>
      </c>
      <c r="AG8" s="46">
        <v>12</v>
      </c>
    </row>
    <row r="9" spans="1:33" ht="39.6" customHeight="1" thickBot="1">
      <c r="A9" s="45" t="s">
        <v>46</v>
      </c>
      <c r="B9" s="46" t="s">
        <v>47</v>
      </c>
      <c r="C9" s="46"/>
      <c r="D9" s="46">
        <v>23.8</v>
      </c>
      <c r="E9" s="46">
        <v>3</v>
      </c>
      <c r="F9" s="47">
        <f>Ownership!D177/Ownership!D178</f>
        <v>0</v>
      </c>
      <c r="G9" s="47">
        <f>Ownership!E177/Ownership!E178</f>
        <v>0.20733636189017982</v>
      </c>
      <c r="H9" s="72">
        <f>F9*D9</f>
        <v>0</v>
      </c>
      <c r="I9" s="72">
        <f>G9*D9</f>
        <v>4.9346054129862802</v>
      </c>
      <c r="J9" s="64">
        <f>Ownership!D172/Ownership!D178</f>
        <v>0</v>
      </c>
      <c r="K9" s="64">
        <f>Ownership!E172/Ownership!E178</f>
        <v>0.13822424126011984</v>
      </c>
      <c r="L9" s="64">
        <f>Ownership!D173/Ownership!D178</f>
        <v>0</v>
      </c>
      <c r="M9" s="64">
        <f>Ownership!E173/Ownership!E178</f>
        <v>2.6836089393587104E-2</v>
      </c>
      <c r="N9" s="64">
        <f>Ownership!D174/Ownership!D178</f>
        <v>0</v>
      </c>
      <c r="O9" s="64">
        <f>Ownership!E174/Ownership!E178</f>
        <v>1.164122599265194E-2</v>
      </c>
      <c r="P9" s="64">
        <f>Ownership!D175/Ownership!D178</f>
        <v>0</v>
      </c>
      <c r="Q9" s="64">
        <f>Ownership!E175/Ownership!E178</f>
        <v>3.1860197453573726E-3</v>
      </c>
      <c r="R9" s="64">
        <f>Ownership!D176/Ownership!D178</f>
        <v>0</v>
      </c>
      <c r="S9" s="64">
        <f>Ownership!E176/Ownership!E178</f>
        <v>1.9361196914094807E-2</v>
      </c>
      <c r="T9" s="76">
        <f>J9*$D$9</f>
        <v>0</v>
      </c>
      <c r="U9" s="76">
        <f t="shared" ref="U9:AC9" si="2">K9*$D$9</f>
        <v>3.2897369419908524</v>
      </c>
      <c r="V9" s="76">
        <f t="shared" si="2"/>
        <v>0</v>
      </c>
      <c r="W9" s="76">
        <f t="shared" si="2"/>
        <v>0.63869892756737312</v>
      </c>
      <c r="X9" s="76">
        <f t="shared" si="2"/>
        <v>0</v>
      </c>
      <c r="Y9" s="76">
        <f t="shared" si="2"/>
        <v>0.27706117862511614</v>
      </c>
      <c r="Z9" s="76">
        <f t="shared" si="2"/>
        <v>0</v>
      </c>
      <c r="AA9" s="76">
        <f t="shared" si="2"/>
        <v>7.5827269939505476E-2</v>
      </c>
      <c r="AB9" s="76">
        <f t="shared" si="2"/>
        <v>0</v>
      </c>
      <c r="AC9" s="76">
        <f t="shared" si="2"/>
        <v>0.46079648655545641</v>
      </c>
      <c r="AD9" s="48" t="s">
        <v>48</v>
      </c>
      <c r="AE9" s="49" t="s">
        <v>35</v>
      </c>
      <c r="AF9" s="49">
        <v>20679.599999999999</v>
      </c>
      <c r="AG9" s="48">
        <v>57</v>
      </c>
    </row>
    <row r="10" spans="1:33" ht="39.6" customHeight="1" thickBot="1">
      <c r="A10" s="51" t="s">
        <v>49</v>
      </c>
      <c r="B10" s="48" t="s">
        <v>35</v>
      </c>
      <c r="C10" s="48">
        <v>9.1999999999999993</v>
      </c>
      <c r="D10" s="48"/>
      <c r="E10" s="48">
        <v>2</v>
      </c>
      <c r="F10" s="52">
        <f>Ownership!D250/Ownership!D251</f>
        <v>0</v>
      </c>
      <c r="G10" s="52">
        <f>Ownership!E250/Ownership!E251</f>
        <v>0</v>
      </c>
      <c r="H10" s="73">
        <f>F10*C10</f>
        <v>0</v>
      </c>
      <c r="I10" s="73">
        <f>G10*C10</f>
        <v>0</v>
      </c>
      <c r="J10" s="64">
        <v>0</v>
      </c>
      <c r="K10" s="65">
        <v>0</v>
      </c>
      <c r="L10" s="65">
        <v>0</v>
      </c>
      <c r="M10" s="65">
        <v>0</v>
      </c>
      <c r="N10" s="65">
        <v>0</v>
      </c>
      <c r="O10" s="65">
        <v>0</v>
      </c>
      <c r="P10" s="65">
        <v>0</v>
      </c>
      <c r="Q10" s="65">
        <v>0</v>
      </c>
      <c r="R10" s="65">
        <v>0</v>
      </c>
      <c r="S10" s="65">
        <v>0</v>
      </c>
      <c r="T10" s="77">
        <f>J10*$C$10</f>
        <v>0</v>
      </c>
      <c r="U10" s="77">
        <f t="shared" ref="U10:AC10" si="3">K10*$C$10</f>
        <v>0</v>
      </c>
      <c r="V10" s="77">
        <f t="shared" si="3"/>
        <v>0</v>
      </c>
      <c r="W10" s="77">
        <f t="shared" si="3"/>
        <v>0</v>
      </c>
      <c r="X10" s="77">
        <f t="shared" si="3"/>
        <v>0</v>
      </c>
      <c r="Y10" s="77">
        <f t="shared" si="3"/>
        <v>0</v>
      </c>
      <c r="Z10" s="77">
        <f t="shared" si="3"/>
        <v>0</v>
      </c>
      <c r="AA10" s="77">
        <f t="shared" si="3"/>
        <v>0</v>
      </c>
      <c r="AB10" s="77">
        <f t="shared" si="3"/>
        <v>0</v>
      </c>
      <c r="AC10" s="77">
        <f t="shared" si="3"/>
        <v>0</v>
      </c>
      <c r="AD10" s="46" t="s">
        <v>50</v>
      </c>
      <c r="AE10" s="46" t="s">
        <v>39</v>
      </c>
      <c r="AF10" s="46">
        <v>1597.8</v>
      </c>
      <c r="AG10" s="46">
        <v>3</v>
      </c>
    </row>
    <row r="11" spans="1:33" ht="39.6" customHeight="1" thickBot="1">
      <c r="A11" s="45" t="s">
        <v>51</v>
      </c>
      <c r="B11" s="46" t="s">
        <v>44</v>
      </c>
      <c r="C11" s="46">
        <v>46.5</v>
      </c>
      <c r="D11" s="46"/>
      <c r="E11" s="46">
        <v>1</v>
      </c>
      <c r="F11" s="47">
        <f>Ownership!D250/Ownership!D251</f>
        <v>0</v>
      </c>
      <c r="G11" s="47">
        <f>Ownership!E250/Ownership!E251</f>
        <v>0</v>
      </c>
      <c r="H11" s="72">
        <f>F11*C11</f>
        <v>0</v>
      </c>
      <c r="I11" s="72">
        <f>G11*C11</f>
        <v>0</v>
      </c>
      <c r="J11" s="64">
        <v>0</v>
      </c>
      <c r="K11" s="65">
        <v>0</v>
      </c>
      <c r="L11" s="65">
        <v>0</v>
      </c>
      <c r="M11" s="65">
        <v>0</v>
      </c>
      <c r="N11" s="65">
        <v>0</v>
      </c>
      <c r="O11" s="65">
        <v>0</v>
      </c>
      <c r="P11" s="65">
        <v>0</v>
      </c>
      <c r="Q11" s="65">
        <v>0</v>
      </c>
      <c r="R11" s="65">
        <v>0</v>
      </c>
      <c r="S11" s="65">
        <v>0</v>
      </c>
      <c r="T11" s="77">
        <f>J11*$C$11</f>
        <v>0</v>
      </c>
      <c r="U11" s="77">
        <f t="shared" ref="U11:AB11" si="4">K11*$C$11</f>
        <v>0</v>
      </c>
      <c r="V11" s="77">
        <f t="shared" si="4"/>
        <v>0</v>
      </c>
      <c r="W11" s="77">
        <f t="shared" si="4"/>
        <v>0</v>
      </c>
      <c r="X11" s="77">
        <f t="shared" si="4"/>
        <v>0</v>
      </c>
      <c r="Y11" s="77">
        <f t="shared" si="4"/>
        <v>0</v>
      </c>
      <c r="Z11" s="77">
        <f t="shared" si="4"/>
        <v>0</v>
      </c>
      <c r="AA11" s="77">
        <f t="shared" si="4"/>
        <v>0</v>
      </c>
      <c r="AB11" s="77">
        <f t="shared" si="4"/>
        <v>0</v>
      </c>
      <c r="AC11" s="77">
        <f>S11*$C$11</f>
        <v>0</v>
      </c>
      <c r="AD11" s="46" t="s">
        <v>50</v>
      </c>
      <c r="AE11" s="46" t="s">
        <v>39</v>
      </c>
      <c r="AF11" s="46">
        <v>1597.8</v>
      </c>
      <c r="AG11" s="46">
        <v>3</v>
      </c>
    </row>
    <row r="12" spans="1:33" ht="39.6" customHeight="1" thickBot="1">
      <c r="A12" s="45" t="s">
        <v>52</v>
      </c>
      <c r="B12" s="46" t="s">
        <v>33</v>
      </c>
      <c r="C12" s="46"/>
      <c r="D12" s="46">
        <v>9.9</v>
      </c>
      <c r="E12" s="46">
        <v>1</v>
      </c>
      <c r="F12" s="47">
        <f>Ownership!D110/Ownership!D111</f>
        <v>0</v>
      </c>
      <c r="G12" s="47">
        <f>Ownership!E110/Ownership!E111</f>
        <v>0.45922746781115881</v>
      </c>
      <c r="H12" s="72">
        <f>F12*D12</f>
        <v>0</v>
      </c>
      <c r="I12" s="72">
        <f>G12*D12</f>
        <v>4.5463519313304728</v>
      </c>
      <c r="J12" s="64">
        <v>0</v>
      </c>
      <c r="K12" s="64">
        <f>Ownership!E105/Ownership!E111</f>
        <v>0.15879828326180259</v>
      </c>
      <c r="L12" s="64">
        <v>0</v>
      </c>
      <c r="M12" s="64">
        <f>Ownership!E106/Ownership!E111</f>
        <v>0</v>
      </c>
      <c r="N12" s="64">
        <v>0</v>
      </c>
      <c r="O12" s="64">
        <f>Ownership!E107/Ownership!E111</f>
        <v>0.15665236051502146</v>
      </c>
      <c r="P12" s="64">
        <v>0</v>
      </c>
      <c r="Q12" s="64">
        <f>Ownership!E108/Ownership!E111</f>
        <v>0.14377682403433478</v>
      </c>
      <c r="R12" s="64">
        <v>0</v>
      </c>
      <c r="S12" s="64">
        <f>Ownership!E109/Ownership!E111</f>
        <v>0</v>
      </c>
      <c r="T12" s="77">
        <f>J12*$D$12</f>
        <v>0</v>
      </c>
      <c r="U12" s="77">
        <f>K12*$D$12</f>
        <v>1.5721030042918458</v>
      </c>
      <c r="V12" s="77">
        <f t="shared" ref="V12:AC12" si="5">L12*$D$12</f>
        <v>0</v>
      </c>
      <c r="W12" s="77">
        <f t="shared" si="5"/>
        <v>0</v>
      </c>
      <c r="X12" s="77">
        <f t="shared" si="5"/>
        <v>0</v>
      </c>
      <c r="Y12" s="77">
        <f t="shared" si="5"/>
        <v>1.5508583690987126</v>
      </c>
      <c r="Z12" s="77">
        <f t="shared" si="5"/>
        <v>0</v>
      </c>
      <c r="AA12" s="77">
        <f t="shared" si="5"/>
        <v>1.4233905579399144</v>
      </c>
      <c r="AB12" s="77">
        <f t="shared" si="5"/>
        <v>0</v>
      </c>
      <c r="AC12" s="77">
        <f t="shared" si="5"/>
        <v>0</v>
      </c>
      <c r="AD12" s="48" t="s">
        <v>53</v>
      </c>
      <c r="AE12" s="48" t="s">
        <v>39</v>
      </c>
      <c r="AF12" s="48">
        <v>1037</v>
      </c>
      <c r="AG12" s="48">
        <v>18</v>
      </c>
    </row>
    <row r="13" spans="1:33" ht="39.6" customHeight="1" thickBot="1">
      <c r="A13" s="51" t="s">
        <v>54</v>
      </c>
      <c r="B13" s="48" t="s">
        <v>39</v>
      </c>
      <c r="C13" s="48">
        <v>326.39999999999998</v>
      </c>
      <c r="D13" s="48"/>
      <c r="E13" s="48">
        <v>1</v>
      </c>
      <c r="F13" s="52">
        <f>Ownership!D38/Ownership!D39</f>
        <v>0</v>
      </c>
      <c r="G13" s="52">
        <f>Ownership!E38/Ownership!E39</f>
        <v>0.13255360623781678</v>
      </c>
      <c r="H13" s="73">
        <f>F13*C13</f>
        <v>0</v>
      </c>
      <c r="I13" s="73">
        <f>G13*C13</f>
        <v>43.265497076023394</v>
      </c>
      <c r="J13" s="65">
        <v>0</v>
      </c>
      <c r="K13" s="65">
        <f>Ownership!E33/Ownership!E39</f>
        <v>4.3805501407840591E-2</v>
      </c>
      <c r="L13" s="65">
        <v>0</v>
      </c>
      <c r="M13" s="65">
        <f>Ownership!E34/Ownership!E39</f>
        <v>0</v>
      </c>
      <c r="N13" s="65">
        <v>0</v>
      </c>
      <c r="O13" s="65">
        <f>Ownership!E35/Ownership!E39</f>
        <v>5.4905782975958418E-2</v>
      </c>
      <c r="P13" s="65">
        <v>0</v>
      </c>
      <c r="Q13" s="65">
        <f>Ownership!E36/Ownership!E39</f>
        <v>0</v>
      </c>
      <c r="R13" s="65">
        <v>0</v>
      </c>
      <c r="S13" s="65">
        <f>Ownership!E37/Ownership!E39</f>
        <v>0</v>
      </c>
      <c r="T13" s="77">
        <f>J13*$C$13</f>
        <v>0</v>
      </c>
      <c r="U13" s="77">
        <f t="shared" ref="U13:AC13" si="6">K13*$C$13</f>
        <v>14.298115659519167</v>
      </c>
      <c r="V13" s="77">
        <f t="shared" si="6"/>
        <v>0</v>
      </c>
      <c r="W13" s="77">
        <f t="shared" si="6"/>
        <v>0</v>
      </c>
      <c r="X13" s="77">
        <f t="shared" si="6"/>
        <v>0</v>
      </c>
      <c r="Y13" s="77">
        <f t="shared" si="6"/>
        <v>17.921247563352825</v>
      </c>
      <c r="Z13" s="77">
        <f t="shared" si="6"/>
        <v>0</v>
      </c>
      <c r="AA13" s="77">
        <f t="shared" si="6"/>
        <v>0</v>
      </c>
      <c r="AB13" s="77">
        <f t="shared" si="6"/>
        <v>0</v>
      </c>
      <c r="AC13" s="77">
        <f t="shared" si="6"/>
        <v>0</v>
      </c>
      <c r="AD13" s="48" t="s">
        <v>55</v>
      </c>
      <c r="AE13" s="48" t="s">
        <v>35</v>
      </c>
      <c r="AF13" s="48">
        <v>11.8</v>
      </c>
      <c r="AG13" s="48">
        <v>2</v>
      </c>
    </row>
    <row r="14" spans="1:33" ht="39.6" customHeight="1" thickBot="1">
      <c r="A14" s="51" t="s">
        <v>56</v>
      </c>
      <c r="B14" s="48" t="s">
        <v>35</v>
      </c>
      <c r="C14" s="48"/>
      <c r="D14" s="48">
        <v>2243.6999999999998</v>
      </c>
      <c r="E14" s="48">
        <v>1</v>
      </c>
      <c r="F14" s="52">
        <f>Ownership!D38/Ownership!D39</f>
        <v>0</v>
      </c>
      <c r="G14" s="52">
        <f>Ownership!E38/Ownership!E39</f>
        <v>0.13255360623781678</v>
      </c>
      <c r="H14" s="73">
        <f>F14*D14</f>
        <v>0</v>
      </c>
      <c r="I14" s="73">
        <f>G14*D14</f>
        <v>297.41052631578947</v>
      </c>
      <c r="J14" s="65">
        <f>J13</f>
        <v>0</v>
      </c>
      <c r="K14" s="65">
        <f t="shared" ref="K14:S15" si="7">K13</f>
        <v>4.3805501407840591E-2</v>
      </c>
      <c r="L14" s="65">
        <f t="shared" si="7"/>
        <v>0</v>
      </c>
      <c r="M14" s="65">
        <f t="shared" si="7"/>
        <v>0</v>
      </c>
      <c r="N14" s="65">
        <f t="shared" si="7"/>
        <v>0</v>
      </c>
      <c r="O14" s="65">
        <f t="shared" si="7"/>
        <v>5.4905782975958418E-2</v>
      </c>
      <c r="P14" s="65">
        <f t="shared" si="7"/>
        <v>0</v>
      </c>
      <c r="Q14" s="65">
        <f t="shared" si="7"/>
        <v>0</v>
      </c>
      <c r="R14" s="65">
        <f t="shared" si="7"/>
        <v>0</v>
      </c>
      <c r="S14" s="65">
        <f t="shared" si="7"/>
        <v>0</v>
      </c>
      <c r="T14" s="77">
        <f>J14*$D$14</f>
        <v>0</v>
      </c>
      <c r="U14" s="77">
        <f t="shared" ref="U14:AC14" si="8">K14*$D$14</f>
        <v>98.286403508771926</v>
      </c>
      <c r="V14" s="77">
        <f t="shared" si="8"/>
        <v>0</v>
      </c>
      <c r="W14" s="77">
        <f t="shared" si="8"/>
        <v>0</v>
      </c>
      <c r="X14" s="77">
        <f t="shared" si="8"/>
        <v>0</v>
      </c>
      <c r="Y14" s="77">
        <f t="shared" si="8"/>
        <v>123.1921052631579</v>
      </c>
      <c r="Z14" s="77">
        <f t="shared" si="8"/>
        <v>0</v>
      </c>
      <c r="AA14" s="77">
        <f t="shared" si="8"/>
        <v>0</v>
      </c>
      <c r="AB14" s="77">
        <f t="shared" si="8"/>
        <v>0</v>
      </c>
      <c r="AC14" s="77">
        <f t="shared" si="8"/>
        <v>0</v>
      </c>
      <c r="AD14" s="48" t="s">
        <v>55</v>
      </c>
      <c r="AE14" s="48" t="s">
        <v>35</v>
      </c>
      <c r="AF14" s="48">
        <v>11.8</v>
      </c>
      <c r="AG14" s="48">
        <v>2</v>
      </c>
    </row>
    <row r="15" spans="1:33" ht="39.6" customHeight="1" thickBot="1">
      <c r="A15" s="51" t="s">
        <v>57</v>
      </c>
      <c r="B15" s="48" t="s">
        <v>35</v>
      </c>
      <c r="C15" s="48">
        <v>1467.8</v>
      </c>
      <c r="D15" s="48"/>
      <c r="E15" s="48">
        <v>1</v>
      </c>
      <c r="F15" s="52">
        <f>Ownership!D38/Ownership!D39</f>
        <v>0</v>
      </c>
      <c r="G15" s="52">
        <f>Ownership!E38/Ownership!E39</f>
        <v>0.13255360623781678</v>
      </c>
      <c r="H15" s="73">
        <f>F15*C15</f>
        <v>0</v>
      </c>
      <c r="I15" s="73">
        <f>G15*C15</f>
        <v>194.56218323586748</v>
      </c>
      <c r="J15" s="65">
        <f>J14</f>
        <v>0</v>
      </c>
      <c r="K15" s="65">
        <f>K14</f>
        <v>4.3805501407840591E-2</v>
      </c>
      <c r="L15" s="65">
        <f t="shared" si="7"/>
        <v>0</v>
      </c>
      <c r="M15" s="65">
        <f t="shared" si="7"/>
        <v>0</v>
      </c>
      <c r="N15" s="65">
        <f t="shared" si="7"/>
        <v>0</v>
      </c>
      <c r="O15" s="65">
        <f t="shared" si="7"/>
        <v>5.4905782975958418E-2</v>
      </c>
      <c r="P15" s="65">
        <f t="shared" si="7"/>
        <v>0</v>
      </c>
      <c r="Q15" s="65">
        <f t="shared" si="7"/>
        <v>0</v>
      </c>
      <c r="R15" s="65">
        <f t="shared" si="7"/>
        <v>0</v>
      </c>
      <c r="S15" s="65">
        <f>S14</f>
        <v>0</v>
      </c>
      <c r="T15" s="77">
        <f>J15*$C15</f>
        <v>0</v>
      </c>
      <c r="U15" s="77">
        <f>K15*$C15</f>
        <v>64.297714966428416</v>
      </c>
      <c r="V15" s="77">
        <f t="shared" ref="V15:AC15" si="9">L15*$C15</f>
        <v>0</v>
      </c>
      <c r="W15" s="77">
        <f t="shared" si="9"/>
        <v>0</v>
      </c>
      <c r="X15" s="77">
        <f t="shared" si="9"/>
        <v>0</v>
      </c>
      <c r="Y15" s="77">
        <f t="shared" si="9"/>
        <v>80.590708252111767</v>
      </c>
      <c r="Z15" s="77">
        <f t="shared" si="9"/>
        <v>0</v>
      </c>
      <c r="AA15" s="77">
        <f t="shared" si="9"/>
        <v>0</v>
      </c>
      <c r="AB15" s="77">
        <f t="shared" si="9"/>
        <v>0</v>
      </c>
      <c r="AC15" s="77">
        <f t="shared" si="9"/>
        <v>0</v>
      </c>
      <c r="AD15" s="48" t="s">
        <v>55</v>
      </c>
      <c r="AE15" s="48" t="s">
        <v>35</v>
      </c>
      <c r="AF15" s="48">
        <v>11.8</v>
      </c>
      <c r="AG15" s="48">
        <v>2</v>
      </c>
    </row>
    <row r="16" spans="1:33" ht="39.6" customHeight="1" thickBot="1">
      <c r="A16" s="51" t="s">
        <v>58</v>
      </c>
      <c r="B16" s="48" t="s">
        <v>47</v>
      </c>
      <c r="C16" s="48"/>
      <c r="D16" s="48">
        <v>435.6</v>
      </c>
      <c r="E16" s="48">
        <v>24</v>
      </c>
      <c r="F16" s="52">
        <f>Ownership!D310/Ownership!D311</f>
        <v>0</v>
      </c>
      <c r="G16" s="52">
        <f>Ownership!E310/Ownership!E311</f>
        <v>0.12707109901463276</v>
      </c>
      <c r="H16" s="73">
        <f>F16*D16</f>
        <v>0</v>
      </c>
      <c r="I16" s="73">
        <f>G16*D16</f>
        <v>55.352170730774034</v>
      </c>
      <c r="J16" s="65">
        <v>0</v>
      </c>
      <c r="K16" s="65">
        <f>Ownership!E305/Ownership!E311</f>
        <v>7.4574199864750099E-2</v>
      </c>
      <c r="L16" s="65">
        <v>0</v>
      </c>
      <c r="M16" s="65">
        <f>Ownership!E306/Ownership!E311</f>
        <v>0</v>
      </c>
      <c r="N16" s="65">
        <v>0</v>
      </c>
      <c r="O16" s="65">
        <f>Ownership!E307/Ownership!E311</f>
        <v>1.9126331965985694E-2</v>
      </c>
      <c r="P16" s="65">
        <v>0</v>
      </c>
      <c r="Q16" s="65">
        <f>Ownership!E308/Ownership!E311</f>
        <v>0</v>
      </c>
      <c r="R16" s="65">
        <v>0</v>
      </c>
      <c r="S16" s="65">
        <f>Ownership!E309/Ownership!E311</f>
        <v>8.73033771420368E-3</v>
      </c>
      <c r="T16" s="77">
        <f>J16*$D16</f>
        <v>0</v>
      </c>
      <c r="U16" s="77">
        <f t="shared" ref="U16:AC16" si="10">K16*$D16</f>
        <v>32.484521461085144</v>
      </c>
      <c r="V16" s="77">
        <f t="shared" si="10"/>
        <v>0</v>
      </c>
      <c r="W16" s="77">
        <f t="shared" si="10"/>
        <v>0</v>
      </c>
      <c r="X16" s="77">
        <f t="shared" si="10"/>
        <v>0</v>
      </c>
      <c r="Y16" s="77">
        <f t="shared" si="10"/>
        <v>8.3314302043833681</v>
      </c>
      <c r="Z16" s="77">
        <f t="shared" si="10"/>
        <v>0</v>
      </c>
      <c r="AA16" s="77">
        <f t="shared" si="10"/>
        <v>0</v>
      </c>
      <c r="AB16" s="77">
        <f t="shared" si="10"/>
        <v>0</v>
      </c>
      <c r="AC16" s="77">
        <f t="shared" si="10"/>
        <v>3.8029351083071234</v>
      </c>
      <c r="AD16" s="48"/>
      <c r="AE16" s="48"/>
      <c r="AF16" s="48"/>
      <c r="AG16" s="48"/>
    </row>
    <row r="17" spans="1:33" ht="39.6" customHeight="1" thickBot="1">
      <c r="A17" s="51" t="s">
        <v>59</v>
      </c>
      <c r="B17" s="48" t="s">
        <v>39</v>
      </c>
      <c r="C17" s="48">
        <v>70.400000000000006</v>
      </c>
      <c r="D17" s="48"/>
      <c r="E17" s="48">
        <v>1</v>
      </c>
      <c r="F17" s="52">
        <f>Ownership!D320/Ownership!D321</f>
        <v>1</v>
      </c>
      <c r="G17" s="52">
        <f>Ownership!E320/Ownership!E321</f>
        <v>1</v>
      </c>
      <c r="H17" s="73">
        <f>F17*C17</f>
        <v>70.400000000000006</v>
      </c>
      <c r="I17" s="73">
        <f>G17*C17</f>
        <v>70.400000000000006</v>
      </c>
      <c r="J17" s="65">
        <v>0</v>
      </c>
      <c r="K17" s="65">
        <v>0</v>
      </c>
      <c r="L17" s="65">
        <f>Ownership!D316/Ownership!D321</f>
        <v>1</v>
      </c>
      <c r="M17" s="65">
        <f>Ownership!E316/Ownership!E321</f>
        <v>1</v>
      </c>
      <c r="N17" s="65">
        <v>0</v>
      </c>
      <c r="O17" s="65">
        <v>0</v>
      </c>
      <c r="P17" s="65">
        <v>0</v>
      </c>
      <c r="Q17" s="65">
        <v>0</v>
      </c>
      <c r="R17" s="65">
        <v>0</v>
      </c>
      <c r="S17" s="65">
        <v>0</v>
      </c>
      <c r="T17" s="77">
        <f>J17*$C17</f>
        <v>0</v>
      </c>
      <c r="U17" s="77">
        <f t="shared" ref="U17:AC21" si="11">K17*$C17</f>
        <v>0</v>
      </c>
      <c r="V17" s="77">
        <f t="shared" si="11"/>
        <v>70.400000000000006</v>
      </c>
      <c r="W17" s="77">
        <f t="shared" si="11"/>
        <v>70.400000000000006</v>
      </c>
      <c r="X17" s="77">
        <f t="shared" si="11"/>
        <v>0</v>
      </c>
      <c r="Y17" s="77">
        <f t="shared" si="11"/>
        <v>0</v>
      </c>
      <c r="Z17" s="77">
        <f t="shared" si="11"/>
        <v>0</v>
      </c>
      <c r="AA17" s="77">
        <f t="shared" si="11"/>
        <v>0</v>
      </c>
      <c r="AB17" s="77">
        <f t="shared" si="11"/>
        <v>0</v>
      </c>
      <c r="AC17" s="77">
        <f t="shared" si="11"/>
        <v>0</v>
      </c>
      <c r="AD17" s="48" t="s">
        <v>60</v>
      </c>
      <c r="AE17" s="48" t="s">
        <v>61</v>
      </c>
      <c r="AF17" s="48" t="s">
        <v>62</v>
      </c>
      <c r="AG17" s="48" t="s">
        <v>63</v>
      </c>
    </row>
    <row r="18" spans="1:33" ht="39.6" customHeight="1" thickBot="1">
      <c r="A18" s="51" t="s">
        <v>64</v>
      </c>
      <c r="B18" s="48" t="s">
        <v>65</v>
      </c>
      <c r="C18" s="48">
        <v>56.2</v>
      </c>
      <c r="D18" s="48"/>
      <c r="E18" s="48">
        <v>2</v>
      </c>
      <c r="F18" s="52">
        <f>Ownership!D660/Ownership!D661</f>
        <v>0</v>
      </c>
      <c r="G18" s="52">
        <f>Ownership!E660/Ownership!E661</f>
        <v>0</v>
      </c>
      <c r="H18" s="73">
        <f>F18*C18</f>
        <v>0</v>
      </c>
      <c r="I18" s="73">
        <f>G18*C18</f>
        <v>0</v>
      </c>
      <c r="J18" s="65">
        <v>0</v>
      </c>
      <c r="K18" s="65">
        <v>0</v>
      </c>
      <c r="L18" s="65">
        <v>0</v>
      </c>
      <c r="M18" s="65">
        <v>0</v>
      </c>
      <c r="N18" s="65">
        <v>0</v>
      </c>
      <c r="O18" s="65">
        <v>0</v>
      </c>
      <c r="P18" s="65">
        <v>0</v>
      </c>
      <c r="Q18" s="65">
        <v>0</v>
      </c>
      <c r="R18" s="65">
        <v>0</v>
      </c>
      <c r="S18" s="65">
        <v>0</v>
      </c>
      <c r="T18" s="77">
        <f>J18*$C18</f>
        <v>0</v>
      </c>
      <c r="U18" s="77">
        <f t="shared" si="11"/>
        <v>0</v>
      </c>
      <c r="V18" s="77">
        <f t="shared" si="11"/>
        <v>0</v>
      </c>
      <c r="W18" s="77">
        <f t="shared" si="11"/>
        <v>0</v>
      </c>
      <c r="X18" s="77">
        <f t="shared" si="11"/>
        <v>0</v>
      </c>
      <c r="Y18" s="77">
        <f t="shared" si="11"/>
        <v>0</v>
      </c>
      <c r="Z18" s="77">
        <f t="shared" si="11"/>
        <v>0</v>
      </c>
      <c r="AA18" s="77">
        <f t="shared" si="11"/>
        <v>0</v>
      </c>
      <c r="AB18" s="77">
        <f t="shared" si="11"/>
        <v>0</v>
      </c>
      <c r="AC18" s="77">
        <f t="shared" si="11"/>
        <v>0</v>
      </c>
      <c r="AD18" s="48" t="s">
        <v>66</v>
      </c>
      <c r="AE18" s="48" t="s">
        <v>67</v>
      </c>
      <c r="AF18" s="48" t="s">
        <v>62</v>
      </c>
      <c r="AG18" s="48" t="s">
        <v>62</v>
      </c>
    </row>
    <row r="19" spans="1:33" ht="39.6" customHeight="1" thickBot="1">
      <c r="A19" s="51" t="s">
        <v>68</v>
      </c>
      <c r="B19" s="48" t="s">
        <v>69</v>
      </c>
      <c r="C19" s="48">
        <v>88.4</v>
      </c>
      <c r="D19" s="48"/>
      <c r="E19" s="48">
        <v>1</v>
      </c>
      <c r="F19" s="52">
        <f>Ownership!D671/Ownership!D672</f>
        <v>0</v>
      </c>
      <c r="G19" s="52">
        <f>Ownership!E671/Ownership!E672</f>
        <v>1</v>
      </c>
      <c r="H19" s="73">
        <f>F19*C19</f>
        <v>0</v>
      </c>
      <c r="I19" s="73">
        <f>G19*C19</f>
        <v>88.4</v>
      </c>
      <c r="J19" s="65">
        <v>0</v>
      </c>
      <c r="K19" s="65">
        <v>0</v>
      </c>
      <c r="L19" s="65">
        <v>0</v>
      </c>
      <c r="M19" s="65">
        <v>0</v>
      </c>
      <c r="N19" s="65">
        <v>0</v>
      </c>
      <c r="O19" s="65">
        <v>0</v>
      </c>
      <c r="P19" s="65">
        <v>0</v>
      </c>
      <c r="Q19" s="65">
        <f>Ownership!E669/Ownership!E672</f>
        <v>1</v>
      </c>
      <c r="R19" s="65">
        <v>0</v>
      </c>
      <c r="S19" s="65">
        <v>0</v>
      </c>
      <c r="T19" s="77">
        <f t="shared" ref="T19:T76" si="12">J19*$C19</f>
        <v>0</v>
      </c>
      <c r="U19" s="77">
        <f t="shared" si="11"/>
        <v>0</v>
      </c>
      <c r="V19" s="77">
        <f t="shared" si="11"/>
        <v>0</v>
      </c>
      <c r="W19" s="77">
        <f t="shared" si="11"/>
        <v>0</v>
      </c>
      <c r="X19" s="77">
        <f t="shared" si="11"/>
        <v>0</v>
      </c>
      <c r="Y19" s="77">
        <f t="shared" si="11"/>
        <v>0</v>
      </c>
      <c r="Z19" s="77">
        <f t="shared" si="11"/>
        <v>0</v>
      </c>
      <c r="AA19" s="77">
        <f t="shared" si="11"/>
        <v>88.4</v>
      </c>
      <c r="AB19" s="77">
        <f t="shared" si="11"/>
        <v>0</v>
      </c>
      <c r="AC19" s="77">
        <f t="shared" si="11"/>
        <v>0</v>
      </c>
      <c r="AD19" s="48" t="s">
        <v>66</v>
      </c>
      <c r="AE19" s="48" t="s">
        <v>67</v>
      </c>
      <c r="AF19" s="48" t="s">
        <v>62</v>
      </c>
      <c r="AG19" s="48" t="s">
        <v>62</v>
      </c>
    </row>
    <row r="20" spans="1:33" ht="39.6" customHeight="1" thickBot="1">
      <c r="A20" s="51" t="s">
        <v>70</v>
      </c>
      <c r="B20" s="48" t="s">
        <v>39</v>
      </c>
      <c r="C20" s="48">
        <v>634.4</v>
      </c>
      <c r="D20" s="48"/>
      <c r="E20" s="48">
        <v>2</v>
      </c>
      <c r="F20" s="52">
        <f>Ownership!D895/Ownership!D896</f>
        <v>1</v>
      </c>
      <c r="G20" s="52">
        <f>Ownership!E895/Ownership!E896</f>
        <v>0.9825196262027005</v>
      </c>
      <c r="H20" s="73">
        <f>F20*C20</f>
        <v>634.4</v>
      </c>
      <c r="I20" s="73">
        <f>G20*C20</f>
        <v>623.31045086299321</v>
      </c>
      <c r="J20" s="65">
        <f>Ownership!D890/Ownership!D896</f>
        <v>8.8998763906056821E-2</v>
      </c>
      <c r="K20" s="65">
        <f>Ownership!E890/Ownership!E896</f>
        <v>0.12854881538294607</v>
      </c>
      <c r="L20" s="65">
        <f>Ownership!D891/Ownership!D896</f>
        <v>0.81307512704298845</v>
      </c>
      <c r="M20" s="65">
        <f>Ownership!E891/Ownership!E896</f>
        <v>0.68210558395923793</v>
      </c>
      <c r="N20" s="65">
        <f>Ownership!D892/Ownership!D896</f>
        <v>0</v>
      </c>
      <c r="O20" s="65">
        <f>Ownership!E892/Ownership!E896</f>
        <v>1.7480373797299439E-2</v>
      </c>
      <c r="P20" s="65">
        <f>Ownership!D893/Ownership!D896</f>
        <v>0</v>
      </c>
      <c r="Q20" s="65">
        <f>Ownership!E893/Ownership!E896</f>
        <v>1.3110280347974578E-2</v>
      </c>
      <c r="R20" s="65">
        <f>Ownership!D894/Ownership!D896</f>
        <v>0</v>
      </c>
      <c r="S20" s="65">
        <f>Ownership!E894/Ownership!E896</f>
        <v>1.5521366388981399E-2</v>
      </c>
      <c r="T20" s="77">
        <f>J20*$C20</f>
        <v>56.460815822002445</v>
      </c>
      <c r="U20" s="77">
        <f t="shared" si="11"/>
        <v>81.551368478940987</v>
      </c>
      <c r="V20" s="77">
        <f t="shared" si="11"/>
        <v>515.81486059607187</v>
      </c>
      <c r="W20" s="77">
        <f t="shared" si="11"/>
        <v>432.72778246374054</v>
      </c>
      <c r="X20" s="77">
        <f t="shared" si="11"/>
        <v>0</v>
      </c>
      <c r="Y20" s="77">
        <f t="shared" si="11"/>
        <v>11.089549137006763</v>
      </c>
      <c r="Z20" s="77">
        <f t="shared" si="11"/>
        <v>0</v>
      </c>
      <c r="AA20" s="77">
        <f t="shared" si="11"/>
        <v>8.3171618527550724</v>
      </c>
      <c r="AB20" s="77">
        <f t="shared" si="11"/>
        <v>0</v>
      </c>
      <c r="AC20" s="77">
        <f t="shared" si="11"/>
        <v>9.846754837169799</v>
      </c>
      <c r="AD20" s="48" t="s">
        <v>71</v>
      </c>
      <c r="AE20" s="48" t="s">
        <v>61</v>
      </c>
      <c r="AF20" s="48">
        <v>9387.2999999999993</v>
      </c>
      <c r="AG20" s="48">
        <v>89</v>
      </c>
    </row>
    <row r="21" spans="1:33" ht="50.45" customHeight="1" thickBot="1">
      <c r="A21" s="51" t="s">
        <v>72</v>
      </c>
      <c r="B21" s="48" t="s">
        <v>39</v>
      </c>
      <c r="C21" s="48"/>
      <c r="D21" s="48"/>
      <c r="E21" s="48">
        <v>1</v>
      </c>
      <c r="F21" s="52">
        <f>Ownership!D972/Ownership!D973</f>
        <v>1.2942281598998014E-2</v>
      </c>
      <c r="G21" s="52">
        <f>Ownership!E972/Ownership!E973</f>
        <v>0.30248306997742674</v>
      </c>
      <c r="H21" s="73">
        <f>F21*C21</f>
        <v>0</v>
      </c>
      <c r="I21" s="73">
        <f t="shared" ref="I21:I75" si="13">G21*C21</f>
        <v>0</v>
      </c>
      <c r="J21" s="65">
        <f>Ownership!D967/Ownership!D973</f>
        <v>0</v>
      </c>
      <c r="K21" s="65">
        <f>Ownership!E967/Ownership!E973</f>
        <v>0.16301193163495653</v>
      </c>
      <c r="L21" s="65">
        <f>Ownership!D968/Ownership!D973</f>
        <v>1.2942281598998014E-2</v>
      </c>
      <c r="M21" s="65">
        <f>Ownership!E968/Ownership!E973</f>
        <v>5.8045791680103216E-3</v>
      </c>
      <c r="N21" s="65">
        <f>Ownership!D969/Ownership!D973</f>
        <v>0</v>
      </c>
      <c r="O21" s="65">
        <f>Ownership!E969/Ownership!E973</f>
        <v>9.0293453724604993E-3</v>
      </c>
      <c r="P21" s="65">
        <f>Ownership!D970/Ownership!D973</f>
        <v>0</v>
      </c>
      <c r="Q21" s="65">
        <f>Ownership!E970/Ownership!E973</f>
        <v>4.1921960657852319E-3</v>
      </c>
      <c r="R21" s="65">
        <f>Ownership!D971/Ownership!D973</f>
        <v>0</v>
      </c>
      <c r="S21" s="65">
        <f>Ownership!E971/Ownership!E973</f>
        <v>3.2570138664946804E-2</v>
      </c>
      <c r="T21" s="77">
        <f t="shared" ref="T21" si="14">J21*$C21</f>
        <v>0</v>
      </c>
      <c r="U21" s="77">
        <f t="shared" si="11"/>
        <v>0</v>
      </c>
      <c r="V21" s="77">
        <f t="shared" si="11"/>
        <v>0</v>
      </c>
      <c r="W21" s="77">
        <f t="shared" si="11"/>
        <v>0</v>
      </c>
      <c r="X21" s="77">
        <f t="shared" si="11"/>
        <v>0</v>
      </c>
      <c r="Y21" s="77">
        <f t="shared" si="11"/>
        <v>0</v>
      </c>
      <c r="Z21" s="77">
        <f t="shared" si="11"/>
        <v>0</v>
      </c>
      <c r="AA21" s="77">
        <f t="shared" si="11"/>
        <v>0</v>
      </c>
      <c r="AB21" s="77">
        <f t="shared" si="11"/>
        <v>0</v>
      </c>
      <c r="AC21" s="77">
        <f t="shared" si="11"/>
        <v>0</v>
      </c>
      <c r="AD21" s="56" t="s">
        <v>73</v>
      </c>
      <c r="AE21" s="46" t="s">
        <v>35</v>
      </c>
      <c r="AF21" s="46">
        <v>5460.6</v>
      </c>
      <c r="AG21" s="46">
        <v>66</v>
      </c>
    </row>
    <row r="22" spans="1:33" ht="39.6" customHeight="1" thickBot="1">
      <c r="A22" s="45" t="s">
        <v>74</v>
      </c>
      <c r="B22" s="46" t="s">
        <v>75</v>
      </c>
      <c r="C22" s="46"/>
      <c r="D22" s="46">
        <v>4.4000000000000004</v>
      </c>
      <c r="E22" s="46">
        <v>4</v>
      </c>
      <c r="F22" s="47">
        <f>Ownership!D972/Ownership!D973</f>
        <v>1.2942281598998014E-2</v>
      </c>
      <c r="G22" s="47">
        <f>Ownership!E972/Ownership!E973</f>
        <v>0.30248306997742674</v>
      </c>
      <c r="H22" s="73">
        <f>F22*D22</f>
        <v>5.694603903559127E-2</v>
      </c>
      <c r="I22" s="73">
        <f>G22*D22</f>
        <v>1.3309255079006779</v>
      </c>
      <c r="J22" s="65">
        <f>J21</f>
        <v>0</v>
      </c>
      <c r="K22" s="65">
        <f t="shared" ref="K22:S23" si="15">K21</f>
        <v>0.16301193163495653</v>
      </c>
      <c r="L22" s="65">
        <f t="shared" si="15"/>
        <v>1.2942281598998014E-2</v>
      </c>
      <c r="M22" s="65">
        <f t="shared" si="15"/>
        <v>5.8045791680103216E-3</v>
      </c>
      <c r="N22" s="65">
        <f t="shared" si="15"/>
        <v>0</v>
      </c>
      <c r="O22" s="65">
        <f t="shared" si="15"/>
        <v>9.0293453724604993E-3</v>
      </c>
      <c r="P22" s="65">
        <f t="shared" si="15"/>
        <v>0</v>
      </c>
      <c r="Q22" s="65">
        <f t="shared" si="15"/>
        <v>4.1921960657852319E-3</v>
      </c>
      <c r="R22" s="65">
        <f t="shared" si="15"/>
        <v>0</v>
      </c>
      <c r="S22" s="65">
        <f t="shared" si="15"/>
        <v>3.2570138664946804E-2</v>
      </c>
      <c r="T22" s="77">
        <f>J22*$D22</f>
        <v>0</v>
      </c>
      <c r="U22" s="77">
        <f t="shared" ref="U22:AC26" si="16">K22*$D22</f>
        <v>0.71725249919380885</v>
      </c>
      <c r="V22" s="77">
        <f t="shared" si="16"/>
        <v>5.694603903559127E-2</v>
      </c>
      <c r="W22" s="77">
        <f t="shared" si="16"/>
        <v>2.5540148339245419E-2</v>
      </c>
      <c r="X22" s="77">
        <f t="shared" si="16"/>
        <v>0</v>
      </c>
      <c r="Y22" s="77">
        <f t="shared" si="16"/>
        <v>3.9729119638826201E-2</v>
      </c>
      <c r="Z22" s="77">
        <f t="shared" si="16"/>
        <v>0</v>
      </c>
      <c r="AA22" s="77">
        <f t="shared" si="16"/>
        <v>1.8445662689455022E-2</v>
      </c>
      <c r="AB22" s="77">
        <f t="shared" si="16"/>
        <v>0</v>
      </c>
      <c r="AC22" s="77">
        <f t="shared" si="16"/>
        <v>0.14330861012576596</v>
      </c>
      <c r="AD22" s="56" t="s">
        <v>73</v>
      </c>
      <c r="AE22" s="46" t="s">
        <v>35</v>
      </c>
      <c r="AF22" s="46">
        <v>5460.6</v>
      </c>
      <c r="AG22" s="46">
        <v>66</v>
      </c>
    </row>
    <row r="23" spans="1:33" ht="39.6" customHeight="1" thickBot="1">
      <c r="A23" s="45" t="s">
        <v>76</v>
      </c>
      <c r="B23" s="46" t="s">
        <v>35</v>
      </c>
      <c r="C23" s="46"/>
      <c r="D23" s="46">
        <v>221.6</v>
      </c>
      <c r="E23" s="46">
        <v>3</v>
      </c>
      <c r="F23" s="47">
        <f>Ownership!D972/Ownership!D973</f>
        <v>1.2942281598998014E-2</v>
      </c>
      <c r="G23" s="47">
        <f>Ownership!E972/Ownership!E973</f>
        <v>0.30248306997742674</v>
      </c>
      <c r="H23" s="73">
        <f>F23*D23</f>
        <v>2.8680096023379598</v>
      </c>
      <c r="I23" s="73">
        <f>G23*D23</f>
        <v>67.030248306997763</v>
      </c>
      <c r="J23" s="65">
        <f>J22</f>
        <v>0</v>
      </c>
      <c r="K23" s="65">
        <f t="shared" si="15"/>
        <v>0.16301193163495653</v>
      </c>
      <c r="L23" s="65">
        <f t="shared" si="15"/>
        <v>1.2942281598998014E-2</v>
      </c>
      <c r="M23" s="65">
        <f t="shared" si="15"/>
        <v>5.8045791680103216E-3</v>
      </c>
      <c r="N23" s="65">
        <f t="shared" si="15"/>
        <v>0</v>
      </c>
      <c r="O23" s="65">
        <f t="shared" si="15"/>
        <v>9.0293453724604993E-3</v>
      </c>
      <c r="P23" s="65">
        <f t="shared" si="15"/>
        <v>0</v>
      </c>
      <c r="Q23" s="65">
        <f t="shared" si="15"/>
        <v>4.1921960657852319E-3</v>
      </c>
      <c r="R23" s="65">
        <f t="shared" si="15"/>
        <v>0</v>
      </c>
      <c r="S23" s="65">
        <f t="shared" si="15"/>
        <v>3.2570138664946804E-2</v>
      </c>
      <c r="T23" s="77">
        <f t="shared" ref="T23:T26" si="17">J23*$D23</f>
        <v>0</v>
      </c>
      <c r="U23" s="77">
        <f t="shared" si="16"/>
        <v>36.123444050306368</v>
      </c>
      <c r="V23" s="77">
        <f t="shared" si="16"/>
        <v>2.8680096023379598</v>
      </c>
      <c r="W23" s="77">
        <f t="shared" si="16"/>
        <v>1.2862947436310872</v>
      </c>
      <c r="X23" s="77">
        <f t="shared" si="16"/>
        <v>0</v>
      </c>
      <c r="Y23" s="77">
        <f t="shared" si="16"/>
        <v>2.0009029345372467</v>
      </c>
      <c r="Z23" s="77">
        <f t="shared" si="16"/>
        <v>0</v>
      </c>
      <c r="AA23" s="77">
        <f t="shared" si="16"/>
        <v>0.92899064817800736</v>
      </c>
      <c r="AB23" s="77">
        <f t="shared" si="16"/>
        <v>0</v>
      </c>
      <c r="AC23" s="77">
        <f t="shared" si="16"/>
        <v>7.2175427281522113</v>
      </c>
      <c r="AD23" s="46" t="s">
        <v>73</v>
      </c>
      <c r="AE23" s="46" t="s">
        <v>35</v>
      </c>
      <c r="AF23" s="46">
        <v>5460.6</v>
      </c>
      <c r="AG23" s="46">
        <v>66</v>
      </c>
    </row>
    <row r="24" spans="1:33" ht="39.6" customHeight="1" thickBot="1">
      <c r="A24" s="45" t="s">
        <v>77</v>
      </c>
      <c r="B24" s="46" t="s">
        <v>35</v>
      </c>
      <c r="C24" s="46"/>
      <c r="D24" s="46">
        <v>7569.4</v>
      </c>
      <c r="E24" s="46">
        <v>29</v>
      </c>
      <c r="F24" s="47">
        <f>Ownership!D365/Ownership!D366</f>
        <v>0</v>
      </c>
      <c r="G24" s="47">
        <f>Ownership!E365/Ownership!E366</f>
        <v>0.11459229738687436</v>
      </c>
      <c r="H24" s="73">
        <f>F24*D24</f>
        <v>0</v>
      </c>
      <c r="I24" s="73">
        <f>G24*D24</f>
        <v>867.3949358402067</v>
      </c>
      <c r="J24" s="65">
        <v>0</v>
      </c>
      <c r="K24" s="65">
        <f>Ownership!E360/Ownership!E366</f>
        <v>8.7344529066900461E-2</v>
      </c>
      <c r="L24" s="65">
        <v>0</v>
      </c>
      <c r="M24" s="65">
        <f>Ownership!E361/Ownership!E366</f>
        <v>4.0287881083067162E-3</v>
      </c>
      <c r="N24" s="65">
        <v>0</v>
      </c>
      <c r="O24" s="65">
        <f>Ownership!E362/Ownership!E366</f>
        <v>1.0058272391198551E-2</v>
      </c>
      <c r="P24" s="65">
        <v>0</v>
      </c>
      <c r="Q24" s="65">
        <v>0</v>
      </c>
      <c r="R24" s="65">
        <v>0</v>
      </c>
      <c r="S24" s="65">
        <f>Ownership!E364/Ownership!E366</f>
        <v>9.534798522992563E-3</v>
      </c>
      <c r="T24" s="77">
        <f t="shared" si="17"/>
        <v>0</v>
      </c>
      <c r="U24" s="77">
        <f t="shared" si="16"/>
        <v>661.14567831899637</v>
      </c>
      <c r="V24" s="77">
        <f t="shared" si="16"/>
        <v>0</v>
      </c>
      <c r="W24" s="77">
        <f t="shared" si="16"/>
        <v>30.495508707016857</v>
      </c>
      <c r="X24" s="77">
        <f t="shared" si="16"/>
        <v>0</v>
      </c>
      <c r="Y24" s="77">
        <f t="shared" si="16"/>
        <v>76.135087037938305</v>
      </c>
      <c r="Z24" s="77">
        <f t="shared" si="16"/>
        <v>0</v>
      </c>
      <c r="AA24" s="77">
        <f t="shared" si="16"/>
        <v>0</v>
      </c>
      <c r="AB24" s="77">
        <f t="shared" si="16"/>
        <v>0</v>
      </c>
      <c r="AC24" s="77">
        <f t="shared" si="16"/>
        <v>72.172703939939908</v>
      </c>
      <c r="AD24" s="46" t="s">
        <v>78</v>
      </c>
      <c r="AE24" s="46" t="s">
        <v>35</v>
      </c>
      <c r="AF24" s="46">
        <v>1132.5999999999999</v>
      </c>
      <c r="AG24" s="46">
        <v>16</v>
      </c>
    </row>
    <row r="25" spans="1:33" ht="39.6" customHeight="1" thickBot="1">
      <c r="A25" s="45" t="s">
        <v>79</v>
      </c>
      <c r="B25" s="46" t="s">
        <v>80</v>
      </c>
      <c r="C25" s="46"/>
      <c r="D25" s="46">
        <v>7.8</v>
      </c>
      <c r="E25" s="46">
        <v>2</v>
      </c>
      <c r="F25" s="47">
        <f>Ownership!D381/Ownership!D382</f>
        <v>0</v>
      </c>
      <c r="G25" s="47">
        <f>Ownership!E381/Ownership!E382</f>
        <v>0</v>
      </c>
      <c r="H25" s="73">
        <f>F25*D25</f>
        <v>0</v>
      </c>
      <c r="I25" s="73">
        <f>G25*D25</f>
        <v>0</v>
      </c>
      <c r="J25" s="65">
        <v>0</v>
      </c>
      <c r="K25" s="65">
        <v>0</v>
      </c>
      <c r="L25" s="65">
        <v>0</v>
      </c>
      <c r="M25" s="65">
        <v>0</v>
      </c>
      <c r="N25" s="65">
        <v>0</v>
      </c>
      <c r="O25" s="65">
        <v>0</v>
      </c>
      <c r="P25" s="65">
        <v>0</v>
      </c>
      <c r="Q25" s="65">
        <v>0</v>
      </c>
      <c r="R25" s="65">
        <v>0</v>
      </c>
      <c r="S25" s="65">
        <v>0</v>
      </c>
      <c r="T25" s="77">
        <f t="shared" si="17"/>
        <v>0</v>
      </c>
      <c r="U25" s="77">
        <f t="shared" si="16"/>
        <v>0</v>
      </c>
      <c r="V25" s="77">
        <f t="shared" si="16"/>
        <v>0</v>
      </c>
      <c r="W25" s="77">
        <f t="shared" si="16"/>
        <v>0</v>
      </c>
      <c r="X25" s="77">
        <f t="shared" si="16"/>
        <v>0</v>
      </c>
      <c r="Y25" s="77">
        <f t="shared" si="16"/>
        <v>0</v>
      </c>
      <c r="Z25" s="77">
        <f t="shared" si="16"/>
        <v>0</v>
      </c>
      <c r="AA25" s="77">
        <f t="shared" si="16"/>
        <v>0</v>
      </c>
      <c r="AB25" s="77">
        <f t="shared" si="16"/>
        <v>0</v>
      </c>
      <c r="AC25" s="77">
        <f t="shared" si="16"/>
        <v>0</v>
      </c>
      <c r="AD25" s="48" t="s">
        <v>81</v>
      </c>
      <c r="AE25" s="48" t="s">
        <v>35</v>
      </c>
      <c r="AF25" s="48">
        <v>3563.5</v>
      </c>
      <c r="AG25" s="48">
        <v>3</v>
      </c>
    </row>
    <row r="26" spans="1:33" ht="39.6" customHeight="1" thickBot="1">
      <c r="A26" s="45" t="s">
        <v>82</v>
      </c>
      <c r="B26" s="46" t="s">
        <v>75</v>
      </c>
      <c r="C26" s="46"/>
      <c r="D26" s="46">
        <v>1.5</v>
      </c>
      <c r="E26" s="46">
        <v>1</v>
      </c>
      <c r="F26" s="47">
        <f>Ownership!D381/Ownership!D382</f>
        <v>0</v>
      </c>
      <c r="G26" s="47">
        <f>Ownership!E381/Ownership!E382</f>
        <v>0</v>
      </c>
      <c r="H26" s="73">
        <f>F26*D26</f>
        <v>0</v>
      </c>
      <c r="I26" s="73">
        <f>G26*D26</f>
        <v>0</v>
      </c>
      <c r="J26" s="65">
        <v>0</v>
      </c>
      <c r="K26" s="65">
        <v>0</v>
      </c>
      <c r="L26" s="65">
        <v>0</v>
      </c>
      <c r="M26" s="65">
        <v>0</v>
      </c>
      <c r="N26" s="65">
        <v>0</v>
      </c>
      <c r="O26" s="65">
        <v>0</v>
      </c>
      <c r="P26" s="65">
        <v>0</v>
      </c>
      <c r="Q26" s="65">
        <v>0</v>
      </c>
      <c r="R26" s="65">
        <v>0</v>
      </c>
      <c r="S26" s="65">
        <v>0</v>
      </c>
      <c r="T26" s="77">
        <f t="shared" si="17"/>
        <v>0</v>
      </c>
      <c r="U26" s="77">
        <f t="shared" si="16"/>
        <v>0</v>
      </c>
      <c r="V26" s="77">
        <f t="shared" si="16"/>
        <v>0</v>
      </c>
      <c r="W26" s="77">
        <f t="shared" si="16"/>
        <v>0</v>
      </c>
      <c r="X26" s="77">
        <f t="shared" si="16"/>
        <v>0</v>
      </c>
      <c r="Y26" s="77">
        <f t="shared" si="16"/>
        <v>0</v>
      </c>
      <c r="Z26" s="77">
        <f t="shared" si="16"/>
        <v>0</v>
      </c>
      <c r="AA26" s="77">
        <f t="shared" si="16"/>
        <v>0</v>
      </c>
      <c r="AB26" s="77">
        <f t="shared" si="16"/>
        <v>0</v>
      </c>
      <c r="AC26" s="77">
        <f t="shared" si="16"/>
        <v>0</v>
      </c>
      <c r="AD26" s="48" t="s">
        <v>81</v>
      </c>
      <c r="AE26" s="48" t="s">
        <v>44</v>
      </c>
      <c r="AF26" s="48">
        <v>3563.5</v>
      </c>
      <c r="AG26" s="48">
        <v>3</v>
      </c>
    </row>
    <row r="27" spans="1:33" ht="29.45" thickBot="1">
      <c r="A27" s="51" t="s">
        <v>83</v>
      </c>
      <c r="B27" s="48" t="s">
        <v>44</v>
      </c>
      <c r="C27" s="48">
        <v>30.2</v>
      </c>
      <c r="D27" s="48"/>
      <c r="E27" s="48">
        <v>1</v>
      </c>
      <c r="F27" s="52">
        <f>Ownership!D381/Ownership!D382</f>
        <v>0</v>
      </c>
      <c r="G27" s="52">
        <f>Ownership!E381/Ownership!E382</f>
        <v>0</v>
      </c>
      <c r="H27" s="73">
        <f>F27*C27</f>
        <v>0</v>
      </c>
      <c r="I27" s="73">
        <f t="shared" si="13"/>
        <v>0</v>
      </c>
      <c r="J27" s="65">
        <v>0</v>
      </c>
      <c r="K27" s="65">
        <v>0</v>
      </c>
      <c r="L27" s="65">
        <v>0</v>
      </c>
      <c r="M27" s="65">
        <v>0</v>
      </c>
      <c r="N27" s="65">
        <v>0</v>
      </c>
      <c r="O27" s="65">
        <v>0</v>
      </c>
      <c r="P27" s="65">
        <v>0</v>
      </c>
      <c r="Q27" s="65">
        <v>0</v>
      </c>
      <c r="R27" s="65">
        <v>0</v>
      </c>
      <c r="S27" s="65">
        <v>0</v>
      </c>
      <c r="T27" s="77">
        <f>J27*$C27</f>
        <v>0</v>
      </c>
      <c r="U27" s="77">
        <f t="shared" ref="U27:AC33" si="18">K27*$C27</f>
        <v>0</v>
      </c>
      <c r="V27" s="77">
        <f t="shared" si="18"/>
        <v>0</v>
      </c>
      <c r="W27" s="77">
        <f t="shared" si="18"/>
        <v>0</v>
      </c>
      <c r="X27" s="77">
        <f t="shared" si="18"/>
        <v>0</v>
      </c>
      <c r="Y27" s="77">
        <f t="shared" si="18"/>
        <v>0</v>
      </c>
      <c r="Z27" s="77">
        <f t="shared" si="18"/>
        <v>0</v>
      </c>
      <c r="AA27" s="77">
        <f t="shared" si="18"/>
        <v>0</v>
      </c>
      <c r="AB27" s="77">
        <f t="shared" si="18"/>
        <v>0</v>
      </c>
      <c r="AC27" s="77">
        <f t="shared" si="18"/>
        <v>0</v>
      </c>
      <c r="AD27" s="48" t="s">
        <v>81</v>
      </c>
      <c r="AE27" s="48" t="s">
        <v>44</v>
      </c>
      <c r="AF27" s="48">
        <v>3563.5</v>
      </c>
      <c r="AG27" s="48">
        <v>3</v>
      </c>
    </row>
    <row r="28" spans="1:33" ht="15" thickBot="1">
      <c r="A28" s="45" t="s">
        <v>84</v>
      </c>
      <c r="B28" s="46" t="s">
        <v>47</v>
      </c>
      <c r="C28" s="46">
        <v>89.7</v>
      </c>
      <c r="D28" s="46"/>
      <c r="E28" s="46">
        <v>2</v>
      </c>
      <c r="F28" s="47">
        <f>Ownership!D594/Ownership!D595</f>
        <v>0.25968370387348155</v>
      </c>
      <c r="G28" s="47">
        <f>Ownership!E594/Ownership!E595</f>
        <v>0.4490146021008814</v>
      </c>
      <c r="H28" s="73">
        <f t="shared" ref="H28:H76" si="19">F28*C28</f>
        <v>23.293628237451298</v>
      </c>
      <c r="I28" s="73">
        <f t="shared" si="13"/>
        <v>40.276609808449059</v>
      </c>
      <c r="J28" s="65">
        <f>Ownership!D589/Ownership!D595</f>
        <v>0.14852165940866377</v>
      </c>
      <c r="K28" s="65">
        <f>Ownership!E589/Ownership!E595</f>
        <v>0.35688152460242606</v>
      </c>
      <c r="L28" s="65">
        <f>Ownership!D590/Ownership!D595</f>
        <v>0</v>
      </c>
      <c r="M28" s="65">
        <f>Ownership!E590/Ownership!E595</f>
        <v>0</v>
      </c>
      <c r="N28" s="65">
        <f>Ownership!D591/Ownership!D595</f>
        <v>7.6323630529452222E-2</v>
      </c>
      <c r="O28" s="65">
        <f>Ownership!E591/Ownership!E595</f>
        <v>2.5643110345051873E-2</v>
      </c>
      <c r="P28" s="65">
        <f>Ownership!D592/Ownership!D595</f>
        <v>0</v>
      </c>
      <c r="Q28" s="65">
        <f>Ownership!E592/Ownership!E595</f>
        <v>3.2521382809197049E-3</v>
      </c>
      <c r="R28" s="65">
        <f>Ownership!D593/Ownership!D595</f>
        <v>3.4838413935365575E-2</v>
      </c>
      <c r="S28" s="65">
        <f>Ownership!E593/Ownership!E595</f>
        <v>5.2196819408761259E-2</v>
      </c>
      <c r="T28" s="77">
        <f>J28*$C28</f>
        <v>13.32239284895714</v>
      </c>
      <c r="U28" s="77">
        <f t="shared" si="18"/>
        <v>32.012272756837618</v>
      </c>
      <c r="V28" s="77">
        <f t="shared" si="18"/>
        <v>0</v>
      </c>
      <c r="W28" s="77">
        <f t="shared" si="18"/>
        <v>0</v>
      </c>
      <c r="X28" s="77">
        <f t="shared" si="18"/>
        <v>6.8462296584918647</v>
      </c>
      <c r="Y28" s="77">
        <f t="shared" si="18"/>
        <v>2.3001869979511529</v>
      </c>
      <c r="Z28" s="77">
        <f t="shared" si="18"/>
        <v>0</v>
      </c>
      <c r="AA28" s="77">
        <f t="shared" si="18"/>
        <v>0.29171680379849751</v>
      </c>
      <c r="AB28" s="77">
        <f t="shared" si="18"/>
        <v>3.1250057300022922</v>
      </c>
      <c r="AC28" s="77">
        <f t="shared" si="18"/>
        <v>4.6820547009658853</v>
      </c>
      <c r="AD28" s="48" t="s">
        <v>85</v>
      </c>
      <c r="AE28" s="48" t="s">
        <v>47</v>
      </c>
      <c r="AF28" s="48">
        <v>16515.2</v>
      </c>
      <c r="AG28" s="48">
        <v>47</v>
      </c>
    </row>
    <row r="29" spans="1:33" ht="29.45" thickBot="1">
      <c r="A29" s="45" t="s">
        <v>86</v>
      </c>
      <c r="B29" s="46" t="s">
        <v>47</v>
      </c>
      <c r="C29" s="46">
        <v>1.6</v>
      </c>
      <c r="D29" s="46"/>
      <c r="E29" s="46">
        <v>2</v>
      </c>
      <c r="F29" s="47">
        <f>Ownership!D381/Ownership!D382</f>
        <v>0</v>
      </c>
      <c r="G29" s="47">
        <f>Ownership!E381/Ownership!E382</f>
        <v>0</v>
      </c>
      <c r="H29" s="73">
        <f t="shared" si="19"/>
        <v>0</v>
      </c>
      <c r="I29" s="73">
        <f t="shared" si="13"/>
        <v>0</v>
      </c>
      <c r="J29" s="65">
        <v>0</v>
      </c>
      <c r="K29" s="65">
        <v>0</v>
      </c>
      <c r="L29" s="65">
        <v>0</v>
      </c>
      <c r="M29" s="65">
        <v>0</v>
      </c>
      <c r="N29" s="65">
        <v>0</v>
      </c>
      <c r="O29" s="65">
        <v>0</v>
      </c>
      <c r="P29" s="65">
        <v>0</v>
      </c>
      <c r="Q29" s="65">
        <v>0</v>
      </c>
      <c r="R29" s="65">
        <v>0</v>
      </c>
      <c r="S29" s="65">
        <v>0</v>
      </c>
      <c r="T29" s="77">
        <f t="shared" si="12"/>
        <v>0</v>
      </c>
      <c r="U29" s="77">
        <f t="shared" si="18"/>
        <v>0</v>
      </c>
      <c r="V29" s="77">
        <f t="shared" si="18"/>
        <v>0</v>
      </c>
      <c r="W29" s="77">
        <f t="shared" si="18"/>
        <v>0</v>
      </c>
      <c r="X29" s="77">
        <f t="shared" si="18"/>
        <v>0</v>
      </c>
      <c r="Y29" s="77">
        <f t="shared" si="18"/>
        <v>0</v>
      </c>
      <c r="Z29" s="77">
        <f t="shared" si="18"/>
        <v>0</v>
      </c>
      <c r="AA29" s="77">
        <f t="shared" si="18"/>
        <v>0</v>
      </c>
      <c r="AB29" s="77">
        <f t="shared" si="18"/>
        <v>0</v>
      </c>
      <c r="AC29" s="77">
        <f t="shared" si="18"/>
        <v>0</v>
      </c>
      <c r="AD29" s="48" t="s">
        <v>81</v>
      </c>
      <c r="AE29" s="48" t="s">
        <v>44</v>
      </c>
      <c r="AF29" s="48">
        <v>3563.5</v>
      </c>
      <c r="AG29" s="48">
        <v>3</v>
      </c>
    </row>
    <row r="30" spans="1:33" ht="15" thickBot="1">
      <c r="A30" s="51" t="s">
        <v>87</v>
      </c>
      <c r="B30" s="48" t="s">
        <v>65</v>
      </c>
      <c r="C30" s="48"/>
      <c r="D30" s="48"/>
      <c r="E30" s="48">
        <v>8</v>
      </c>
      <c r="F30" s="52">
        <f>Ownership!D59/Ownership!D60</f>
        <v>0</v>
      </c>
      <c r="G30" s="52">
        <f>Ownership!E59/Ownership!E60</f>
        <v>0</v>
      </c>
      <c r="H30" s="73">
        <f t="shared" si="19"/>
        <v>0</v>
      </c>
      <c r="I30" s="73">
        <f t="shared" si="13"/>
        <v>0</v>
      </c>
      <c r="J30" s="65">
        <v>0</v>
      </c>
      <c r="K30" s="65">
        <v>0</v>
      </c>
      <c r="L30" s="65">
        <v>0</v>
      </c>
      <c r="M30" s="65">
        <v>0</v>
      </c>
      <c r="N30" s="65">
        <v>0</v>
      </c>
      <c r="O30" s="65">
        <v>0</v>
      </c>
      <c r="P30" s="65">
        <v>0</v>
      </c>
      <c r="Q30" s="65">
        <v>0</v>
      </c>
      <c r="R30" s="65">
        <v>0</v>
      </c>
      <c r="S30" s="65">
        <v>0</v>
      </c>
      <c r="T30" s="77">
        <f t="shared" si="12"/>
        <v>0</v>
      </c>
      <c r="U30" s="77">
        <f t="shared" si="18"/>
        <v>0</v>
      </c>
      <c r="V30" s="77">
        <f t="shared" si="18"/>
        <v>0</v>
      </c>
      <c r="W30" s="77">
        <f t="shared" si="18"/>
        <v>0</v>
      </c>
      <c r="X30" s="77">
        <f t="shared" si="18"/>
        <v>0</v>
      </c>
      <c r="Y30" s="77">
        <f t="shared" si="18"/>
        <v>0</v>
      </c>
      <c r="Z30" s="77">
        <f t="shared" si="18"/>
        <v>0</v>
      </c>
      <c r="AA30" s="77">
        <f t="shared" si="18"/>
        <v>0</v>
      </c>
      <c r="AB30" s="77">
        <f t="shared" si="18"/>
        <v>0</v>
      </c>
      <c r="AC30" s="77">
        <f t="shared" si="18"/>
        <v>0</v>
      </c>
      <c r="AD30" s="48" t="s">
        <v>88</v>
      </c>
      <c r="AE30" s="48"/>
      <c r="AF30" s="48"/>
      <c r="AG30" s="48"/>
    </row>
    <row r="31" spans="1:33" ht="29.45" thickBot="1">
      <c r="A31" s="51" t="s">
        <v>89</v>
      </c>
      <c r="B31" s="48" t="s">
        <v>44</v>
      </c>
      <c r="C31" s="48">
        <v>186.5</v>
      </c>
      <c r="D31" s="48"/>
      <c r="E31" s="48">
        <v>1</v>
      </c>
      <c r="F31" s="52">
        <f>Ownership!D394/Ownership!D395</f>
        <v>0</v>
      </c>
      <c r="G31" s="52">
        <f>Ownership!E394/Ownership!E395</f>
        <v>0</v>
      </c>
      <c r="H31" s="73">
        <f t="shared" si="19"/>
        <v>0</v>
      </c>
      <c r="I31" s="73">
        <f t="shared" si="13"/>
        <v>0</v>
      </c>
      <c r="J31" s="65">
        <v>0</v>
      </c>
      <c r="K31" s="65">
        <v>0</v>
      </c>
      <c r="L31" s="65">
        <v>0</v>
      </c>
      <c r="M31" s="65">
        <v>0</v>
      </c>
      <c r="N31" s="65">
        <v>0</v>
      </c>
      <c r="O31" s="65">
        <v>0</v>
      </c>
      <c r="P31" s="65">
        <v>0</v>
      </c>
      <c r="Q31" s="65">
        <v>0</v>
      </c>
      <c r="R31" s="65">
        <v>0</v>
      </c>
      <c r="S31" s="65">
        <v>0</v>
      </c>
      <c r="T31" s="77">
        <f>J31*$C31</f>
        <v>0</v>
      </c>
      <c r="U31" s="77">
        <f t="shared" si="18"/>
        <v>0</v>
      </c>
      <c r="V31" s="77">
        <f t="shared" si="18"/>
        <v>0</v>
      </c>
      <c r="W31" s="77">
        <f t="shared" si="18"/>
        <v>0</v>
      </c>
      <c r="X31" s="77">
        <f t="shared" si="18"/>
        <v>0</v>
      </c>
      <c r="Y31" s="77">
        <f t="shared" si="18"/>
        <v>0</v>
      </c>
      <c r="Z31" s="77">
        <f t="shared" si="18"/>
        <v>0</v>
      </c>
      <c r="AA31" s="77">
        <f t="shared" si="18"/>
        <v>0</v>
      </c>
      <c r="AB31" s="77">
        <f t="shared" si="18"/>
        <v>0</v>
      </c>
      <c r="AC31" s="77">
        <f t="shared" si="18"/>
        <v>0</v>
      </c>
      <c r="AD31" s="49" t="s">
        <v>90</v>
      </c>
      <c r="AE31" s="48" t="s">
        <v>44</v>
      </c>
      <c r="AF31" s="48">
        <v>288.2</v>
      </c>
      <c r="AG31" s="48">
        <v>2</v>
      </c>
    </row>
    <row r="32" spans="1:33" ht="29.45" thickBot="1">
      <c r="A32" s="51" t="s">
        <v>91</v>
      </c>
      <c r="B32" s="48" t="s">
        <v>39</v>
      </c>
      <c r="C32" s="48">
        <v>24.9</v>
      </c>
      <c r="D32" s="48"/>
      <c r="E32" s="48">
        <v>1</v>
      </c>
      <c r="F32" s="52">
        <f>Ownership!D394/Ownership!D395</f>
        <v>0</v>
      </c>
      <c r="G32" s="52">
        <f>Ownership!E394/Ownership!E395</f>
        <v>0</v>
      </c>
      <c r="H32" s="73">
        <f t="shared" si="19"/>
        <v>0</v>
      </c>
      <c r="I32" s="73">
        <f t="shared" si="13"/>
        <v>0</v>
      </c>
      <c r="J32" s="65">
        <v>0</v>
      </c>
      <c r="K32" s="65">
        <v>0</v>
      </c>
      <c r="L32" s="65">
        <v>0</v>
      </c>
      <c r="M32" s="65">
        <v>0</v>
      </c>
      <c r="N32" s="65">
        <v>0</v>
      </c>
      <c r="O32" s="65">
        <v>0</v>
      </c>
      <c r="P32" s="65">
        <v>0</v>
      </c>
      <c r="Q32" s="65">
        <v>0</v>
      </c>
      <c r="R32" s="65">
        <v>0</v>
      </c>
      <c r="S32" s="65">
        <v>0</v>
      </c>
      <c r="T32" s="77">
        <f t="shared" si="12"/>
        <v>0</v>
      </c>
      <c r="U32" s="77">
        <f t="shared" si="18"/>
        <v>0</v>
      </c>
      <c r="V32" s="77">
        <f t="shared" si="18"/>
        <v>0</v>
      </c>
      <c r="W32" s="77">
        <f t="shared" si="18"/>
        <v>0</v>
      </c>
      <c r="X32" s="77">
        <f t="shared" si="18"/>
        <v>0</v>
      </c>
      <c r="Y32" s="77">
        <f t="shared" si="18"/>
        <v>0</v>
      </c>
      <c r="Z32" s="77">
        <f t="shared" si="18"/>
        <v>0</v>
      </c>
      <c r="AA32" s="77">
        <f t="shared" si="18"/>
        <v>0</v>
      </c>
      <c r="AB32" s="77">
        <f t="shared" si="18"/>
        <v>0</v>
      </c>
      <c r="AC32" s="77">
        <f t="shared" si="18"/>
        <v>0</v>
      </c>
      <c r="AD32" s="46" t="s">
        <v>90</v>
      </c>
      <c r="AE32" s="46" t="s">
        <v>44</v>
      </c>
      <c r="AF32" s="46">
        <v>288.2</v>
      </c>
      <c r="AG32" s="46">
        <v>2</v>
      </c>
    </row>
    <row r="33" spans="1:33" ht="29.45" thickBot="1">
      <c r="A33" s="45" t="s">
        <v>92</v>
      </c>
      <c r="B33" s="46" t="s">
        <v>41</v>
      </c>
      <c r="C33" s="46"/>
      <c r="D33" s="46"/>
      <c r="E33" s="46">
        <v>1</v>
      </c>
      <c r="F33" s="47">
        <f>Ownership!D394/Ownership!D395</f>
        <v>0</v>
      </c>
      <c r="G33" s="47">
        <f>Ownership!E394/Ownership!E395</f>
        <v>0</v>
      </c>
      <c r="H33" s="73">
        <f t="shared" si="19"/>
        <v>0</v>
      </c>
      <c r="I33" s="73">
        <f t="shared" si="13"/>
        <v>0</v>
      </c>
      <c r="J33" s="65">
        <v>0</v>
      </c>
      <c r="K33" s="65">
        <v>0</v>
      </c>
      <c r="L33" s="65">
        <v>0</v>
      </c>
      <c r="M33" s="65">
        <v>0</v>
      </c>
      <c r="N33" s="65">
        <v>0</v>
      </c>
      <c r="O33" s="65">
        <v>0</v>
      </c>
      <c r="P33" s="65">
        <v>0</v>
      </c>
      <c r="Q33" s="65">
        <v>0</v>
      </c>
      <c r="R33" s="65">
        <v>0</v>
      </c>
      <c r="S33" s="65">
        <v>0</v>
      </c>
      <c r="T33" s="77">
        <f t="shared" si="12"/>
        <v>0</v>
      </c>
      <c r="U33" s="77">
        <f t="shared" si="18"/>
        <v>0</v>
      </c>
      <c r="V33" s="77">
        <f t="shared" si="18"/>
        <v>0</v>
      </c>
      <c r="W33" s="77">
        <f t="shared" si="18"/>
        <v>0</v>
      </c>
      <c r="X33" s="77">
        <f t="shared" si="18"/>
        <v>0</v>
      </c>
      <c r="Y33" s="77">
        <f t="shared" si="18"/>
        <v>0</v>
      </c>
      <c r="Z33" s="77">
        <f t="shared" si="18"/>
        <v>0</v>
      </c>
      <c r="AA33" s="77">
        <f t="shared" si="18"/>
        <v>0</v>
      </c>
      <c r="AB33" s="77">
        <f t="shared" si="18"/>
        <v>0</v>
      </c>
      <c r="AC33" s="77">
        <f t="shared" si="18"/>
        <v>0</v>
      </c>
      <c r="AD33" s="46" t="s">
        <v>90</v>
      </c>
      <c r="AE33" s="46" t="s">
        <v>44</v>
      </c>
      <c r="AF33" s="46">
        <v>288.2</v>
      </c>
      <c r="AG33" s="46">
        <v>2</v>
      </c>
    </row>
    <row r="34" spans="1:33" ht="29.45" thickBot="1">
      <c r="A34" s="51" t="s">
        <v>93</v>
      </c>
      <c r="B34" s="48" t="s">
        <v>35</v>
      </c>
      <c r="C34" s="48"/>
      <c r="D34" s="48">
        <v>8.6</v>
      </c>
      <c r="E34" s="48">
        <v>3</v>
      </c>
      <c r="F34" s="52">
        <f>Ownership!D394/Ownership!D395</f>
        <v>0</v>
      </c>
      <c r="G34" s="52">
        <f>Ownership!E394/Ownership!E395</f>
        <v>0</v>
      </c>
      <c r="H34" s="73">
        <f>F34*D34</f>
        <v>0</v>
      </c>
      <c r="I34" s="73">
        <f>G34*D34</f>
        <v>0</v>
      </c>
      <c r="J34" s="65">
        <v>0</v>
      </c>
      <c r="K34" s="65">
        <v>0</v>
      </c>
      <c r="L34" s="65">
        <v>0</v>
      </c>
      <c r="M34" s="65">
        <v>0</v>
      </c>
      <c r="N34" s="65">
        <v>0</v>
      </c>
      <c r="O34" s="65">
        <v>0</v>
      </c>
      <c r="P34" s="65">
        <v>0</v>
      </c>
      <c r="Q34" s="65">
        <v>0</v>
      </c>
      <c r="R34" s="65">
        <v>0</v>
      </c>
      <c r="S34" s="65">
        <v>0</v>
      </c>
      <c r="T34" s="77">
        <f>J34*$D34</f>
        <v>0</v>
      </c>
      <c r="U34" s="77">
        <f t="shared" ref="U34:AC36" si="20">K34*$D34</f>
        <v>0</v>
      </c>
      <c r="V34" s="77">
        <f t="shared" si="20"/>
        <v>0</v>
      </c>
      <c r="W34" s="77">
        <f t="shared" si="20"/>
        <v>0</v>
      </c>
      <c r="X34" s="77">
        <f t="shared" si="20"/>
        <v>0</v>
      </c>
      <c r="Y34" s="77">
        <f t="shared" si="20"/>
        <v>0</v>
      </c>
      <c r="Z34" s="77">
        <f t="shared" si="20"/>
        <v>0</v>
      </c>
      <c r="AA34" s="77">
        <f t="shared" si="20"/>
        <v>0</v>
      </c>
      <c r="AB34" s="77">
        <f t="shared" si="20"/>
        <v>0</v>
      </c>
      <c r="AC34" s="77">
        <f t="shared" si="20"/>
        <v>0</v>
      </c>
      <c r="AD34" s="48" t="s">
        <v>90</v>
      </c>
      <c r="AE34" s="46" t="s">
        <v>44</v>
      </c>
      <c r="AF34" s="46">
        <v>288.2</v>
      </c>
      <c r="AG34" s="46">
        <v>2</v>
      </c>
    </row>
    <row r="35" spans="1:33" ht="29.45" thickBot="1">
      <c r="A35" s="45" t="s">
        <v>94</v>
      </c>
      <c r="B35" s="46" t="s">
        <v>95</v>
      </c>
      <c r="C35" s="46"/>
      <c r="D35" s="46">
        <v>8.6999999999999993</v>
      </c>
      <c r="E35" s="46">
        <v>1</v>
      </c>
      <c r="F35" s="47">
        <f>Ownership!D394/Ownership!D395</f>
        <v>0</v>
      </c>
      <c r="G35" s="47">
        <f>Ownership!E394/Ownership!E395</f>
        <v>0</v>
      </c>
      <c r="H35" s="73">
        <f>F35*D35</f>
        <v>0</v>
      </c>
      <c r="I35" s="73">
        <f>G35*D35</f>
        <v>0</v>
      </c>
      <c r="J35" s="65">
        <v>0</v>
      </c>
      <c r="K35" s="65">
        <v>0</v>
      </c>
      <c r="L35" s="65">
        <v>0</v>
      </c>
      <c r="M35" s="65">
        <v>0</v>
      </c>
      <c r="N35" s="65">
        <v>0</v>
      </c>
      <c r="O35" s="65">
        <v>0</v>
      </c>
      <c r="P35" s="65">
        <v>0</v>
      </c>
      <c r="Q35" s="65">
        <v>0</v>
      </c>
      <c r="R35" s="65">
        <v>0</v>
      </c>
      <c r="S35" s="65">
        <v>0</v>
      </c>
      <c r="T35" s="77">
        <f t="shared" ref="T35:T36" si="21">J35*$D35</f>
        <v>0</v>
      </c>
      <c r="U35" s="77">
        <f t="shared" si="20"/>
        <v>0</v>
      </c>
      <c r="V35" s="77">
        <f t="shared" si="20"/>
        <v>0</v>
      </c>
      <c r="W35" s="77">
        <f t="shared" si="20"/>
        <v>0</v>
      </c>
      <c r="X35" s="77">
        <f t="shared" si="20"/>
        <v>0</v>
      </c>
      <c r="Y35" s="77">
        <f t="shared" si="20"/>
        <v>0</v>
      </c>
      <c r="Z35" s="77">
        <f t="shared" si="20"/>
        <v>0</v>
      </c>
      <c r="AA35" s="77">
        <f t="shared" si="20"/>
        <v>0</v>
      </c>
      <c r="AB35" s="77">
        <f>R35*$D35</f>
        <v>0</v>
      </c>
      <c r="AC35" s="77">
        <f t="shared" si="20"/>
        <v>0</v>
      </c>
      <c r="AD35" s="46" t="s">
        <v>90</v>
      </c>
      <c r="AE35" s="46" t="s">
        <v>44</v>
      </c>
      <c r="AF35" s="46">
        <v>288.2</v>
      </c>
      <c r="AG35" s="46">
        <v>2</v>
      </c>
    </row>
    <row r="36" spans="1:33" ht="29.45" thickBot="1">
      <c r="A36" s="45" t="s">
        <v>96</v>
      </c>
      <c r="B36" s="46" t="s">
        <v>75</v>
      </c>
      <c r="C36" s="46"/>
      <c r="D36" s="46">
        <v>5.5</v>
      </c>
      <c r="E36" s="46">
        <v>1</v>
      </c>
      <c r="F36" s="47">
        <f>Ownership!D394/Ownership!D395</f>
        <v>0</v>
      </c>
      <c r="G36" s="47">
        <f>Ownership!E394/Ownership!E395</f>
        <v>0</v>
      </c>
      <c r="H36" s="73">
        <f>F36*D36</f>
        <v>0</v>
      </c>
      <c r="I36" s="73">
        <f>G36*D36</f>
        <v>0</v>
      </c>
      <c r="J36" s="65">
        <v>0</v>
      </c>
      <c r="K36" s="65">
        <v>0</v>
      </c>
      <c r="L36" s="65">
        <v>0</v>
      </c>
      <c r="M36" s="65">
        <v>0</v>
      </c>
      <c r="N36" s="65">
        <v>0</v>
      </c>
      <c r="O36" s="65">
        <v>0</v>
      </c>
      <c r="P36" s="65">
        <v>0</v>
      </c>
      <c r="Q36" s="65">
        <v>0</v>
      </c>
      <c r="R36" s="65">
        <v>0</v>
      </c>
      <c r="S36" s="65">
        <v>0</v>
      </c>
      <c r="T36" s="77">
        <f t="shared" si="21"/>
        <v>0</v>
      </c>
      <c r="U36" s="77">
        <f t="shared" si="20"/>
        <v>0</v>
      </c>
      <c r="V36" s="77">
        <f t="shared" si="20"/>
        <v>0</v>
      </c>
      <c r="W36" s="77">
        <f t="shared" si="20"/>
        <v>0</v>
      </c>
      <c r="X36" s="77">
        <f t="shared" si="20"/>
        <v>0</v>
      </c>
      <c r="Y36" s="77">
        <f t="shared" si="20"/>
        <v>0</v>
      </c>
      <c r="Z36" s="77">
        <f t="shared" si="20"/>
        <v>0</v>
      </c>
      <c r="AA36" s="77">
        <f t="shared" si="20"/>
        <v>0</v>
      </c>
      <c r="AB36" s="77">
        <f t="shared" si="20"/>
        <v>0</v>
      </c>
      <c r="AC36" s="77">
        <f t="shared" si="20"/>
        <v>0</v>
      </c>
      <c r="AD36" s="46" t="s">
        <v>90</v>
      </c>
      <c r="AE36" s="46" t="s">
        <v>44</v>
      </c>
      <c r="AF36" s="46">
        <v>288.2</v>
      </c>
      <c r="AG36" s="46">
        <v>2</v>
      </c>
    </row>
    <row r="37" spans="1:33" ht="29.45" thickBot="1">
      <c r="A37" s="51" t="s">
        <v>97</v>
      </c>
      <c r="B37" s="48" t="s">
        <v>33</v>
      </c>
      <c r="C37" s="48"/>
      <c r="D37" s="48"/>
      <c r="E37" s="48">
        <v>1</v>
      </c>
      <c r="F37" s="52">
        <f>Ownership!D394/Ownership!D395</f>
        <v>0</v>
      </c>
      <c r="G37" s="52">
        <f>Ownership!E394/Ownership!E395</f>
        <v>0</v>
      </c>
      <c r="H37" s="73">
        <f t="shared" si="19"/>
        <v>0</v>
      </c>
      <c r="I37" s="73">
        <f t="shared" si="13"/>
        <v>0</v>
      </c>
      <c r="J37" s="65">
        <v>0</v>
      </c>
      <c r="K37" s="65">
        <v>0</v>
      </c>
      <c r="L37" s="65">
        <v>0</v>
      </c>
      <c r="M37" s="65">
        <v>0</v>
      </c>
      <c r="N37" s="65">
        <v>0</v>
      </c>
      <c r="O37" s="65">
        <v>0</v>
      </c>
      <c r="P37" s="65">
        <v>0</v>
      </c>
      <c r="Q37" s="65">
        <v>0</v>
      </c>
      <c r="R37" s="65">
        <v>0</v>
      </c>
      <c r="S37" s="65">
        <v>0</v>
      </c>
      <c r="T37" s="77">
        <f>J37*$C37</f>
        <v>0</v>
      </c>
      <c r="U37" s="77">
        <f t="shared" ref="U37:AC38" si="22">K37*$C37</f>
        <v>0</v>
      </c>
      <c r="V37" s="77">
        <f t="shared" si="22"/>
        <v>0</v>
      </c>
      <c r="W37" s="77">
        <f t="shared" si="22"/>
        <v>0</v>
      </c>
      <c r="X37" s="77">
        <f t="shared" si="22"/>
        <v>0</v>
      </c>
      <c r="Y37" s="77">
        <f t="shared" si="22"/>
        <v>0</v>
      </c>
      <c r="Z37" s="77">
        <f t="shared" si="22"/>
        <v>0</v>
      </c>
      <c r="AA37" s="77">
        <f t="shared" si="22"/>
        <v>0</v>
      </c>
      <c r="AB37" s="77">
        <f t="shared" si="22"/>
        <v>0</v>
      </c>
      <c r="AC37" s="77">
        <f t="shared" si="22"/>
        <v>0</v>
      </c>
      <c r="AD37" s="46" t="s">
        <v>90</v>
      </c>
      <c r="AE37" s="46" t="s">
        <v>44</v>
      </c>
      <c r="AF37" s="46">
        <v>288.2</v>
      </c>
      <c r="AG37" s="46">
        <v>2</v>
      </c>
    </row>
    <row r="38" spans="1:33" ht="29.45" thickBot="1">
      <c r="A38" s="45" t="s">
        <v>98</v>
      </c>
      <c r="B38" s="46" t="s">
        <v>44</v>
      </c>
      <c r="C38" s="46">
        <v>56</v>
      </c>
      <c r="D38" s="46"/>
      <c r="E38" s="46">
        <v>1</v>
      </c>
      <c r="F38" s="47">
        <f>Ownership!D394/Ownership!D395</f>
        <v>0</v>
      </c>
      <c r="G38" s="47">
        <f>Ownership!E394/Ownership!E395</f>
        <v>0</v>
      </c>
      <c r="H38" s="73">
        <f t="shared" si="19"/>
        <v>0</v>
      </c>
      <c r="I38" s="73">
        <f t="shared" si="13"/>
        <v>0</v>
      </c>
      <c r="J38" s="65">
        <v>0</v>
      </c>
      <c r="K38" s="65">
        <v>0</v>
      </c>
      <c r="L38" s="65">
        <v>0</v>
      </c>
      <c r="M38" s="65">
        <v>0</v>
      </c>
      <c r="N38" s="65">
        <v>0</v>
      </c>
      <c r="O38" s="65">
        <v>0</v>
      </c>
      <c r="P38" s="65">
        <v>0</v>
      </c>
      <c r="Q38" s="65">
        <v>0</v>
      </c>
      <c r="R38" s="65">
        <v>0</v>
      </c>
      <c r="S38" s="65">
        <v>0</v>
      </c>
      <c r="T38" s="77">
        <f t="shared" si="12"/>
        <v>0</v>
      </c>
      <c r="U38" s="77">
        <f t="shared" si="22"/>
        <v>0</v>
      </c>
      <c r="V38" s="77">
        <f t="shared" si="22"/>
        <v>0</v>
      </c>
      <c r="W38" s="77">
        <f t="shared" si="22"/>
        <v>0</v>
      </c>
      <c r="X38" s="77">
        <f t="shared" si="22"/>
        <v>0</v>
      </c>
      <c r="Y38" s="77">
        <f t="shared" si="22"/>
        <v>0</v>
      </c>
      <c r="Z38" s="77">
        <f t="shared" si="22"/>
        <v>0</v>
      </c>
      <c r="AA38" s="77">
        <f t="shared" si="22"/>
        <v>0</v>
      </c>
      <c r="AB38" s="77">
        <f t="shared" si="22"/>
        <v>0</v>
      </c>
      <c r="AC38" s="77">
        <f t="shared" si="22"/>
        <v>0</v>
      </c>
      <c r="AD38" s="46" t="s">
        <v>90</v>
      </c>
      <c r="AE38" s="46" t="s">
        <v>44</v>
      </c>
      <c r="AF38" s="46">
        <v>288</v>
      </c>
      <c r="AG38" s="46">
        <v>2</v>
      </c>
    </row>
    <row r="39" spans="1:33" ht="29.45" thickBot="1">
      <c r="A39" s="45" t="s">
        <v>99</v>
      </c>
      <c r="B39" s="46" t="s">
        <v>80</v>
      </c>
      <c r="C39" s="46"/>
      <c r="D39" s="46">
        <v>9.5</v>
      </c>
      <c r="E39" s="46">
        <v>1</v>
      </c>
      <c r="F39" s="47">
        <f>Ownership!D394/Ownership!D395</f>
        <v>0</v>
      </c>
      <c r="G39" s="47">
        <f>Ownership!E394/Ownership!E395</f>
        <v>0</v>
      </c>
      <c r="H39" s="73">
        <f>F39*D39</f>
        <v>0</v>
      </c>
      <c r="I39" s="73">
        <f>G39*D39</f>
        <v>0</v>
      </c>
      <c r="J39" s="65">
        <v>0</v>
      </c>
      <c r="K39" s="65">
        <v>0</v>
      </c>
      <c r="L39" s="65">
        <v>0</v>
      </c>
      <c r="M39" s="65">
        <v>0</v>
      </c>
      <c r="N39" s="65">
        <v>0</v>
      </c>
      <c r="O39" s="65">
        <v>0</v>
      </c>
      <c r="P39" s="65">
        <v>0</v>
      </c>
      <c r="Q39" s="65">
        <v>0</v>
      </c>
      <c r="R39" s="65">
        <v>0</v>
      </c>
      <c r="S39" s="65">
        <v>0</v>
      </c>
      <c r="T39" s="77">
        <f>J39*$D39</f>
        <v>0</v>
      </c>
      <c r="U39" s="77">
        <f t="shared" ref="U39:AC39" si="23">K39*$D39</f>
        <v>0</v>
      </c>
      <c r="V39" s="77">
        <f t="shared" si="23"/>
        <v>0</v>
      </c>
      <c r="W39" s="77">
        <f t="shared" si="23"/>
        <v>0</v>
      </c>
      <c r="X39" s="77">
        <f t="shared" si="23"/>
        <v>0</v>
      </c>
      <c r="Y39" s="77">
        <f t="shared" si="23"/>
        <v>0</v>
      </c>
      <c r="Z39" s="77">
        <f t="shared" si="23"/>
        <v>0</v>
      </c>
      <c r="AA39" s="77">
        <f t="shared" si="23"/>
        <v>0</v>
      </c>
      <c r="AB39" s="77">
        <f t="shared" si="23"/>
        <v>0</v>
      </c>
      <c r="AC39" s="77">
        <f t="shared" si="23"/>
        <v>0</v>
      </c>
      <c r="AD39" s="46" t="s">
        <v>90</v>
      </c>
      <c r="AE39" s="46" t="s">
        <v>44</v>
      </c>
      <c r="AF39" s="46">
        <v>288.2</v>
      </c>
      <c r="AG39" s="46">
        <v>2</v>
      </c>
    </row>
    <row r="40" spans="1:33" ht="15" thickBot="1">
      <c r="A40" s="45" t="s">
        <v>100</v>
      </c>
      <c r="B40" s="46" t="s">
        <v>44</v>
      </c>
      <c r="C40" s="48">
        <v>3864.2</v>
      </c>
      <c r="D40" s="48"/>
      <c r="E40" s="46">
        <v>148</v>
      </c>
      <c r="F40" s="47">
        <f>Ownership!D501/Ownership!D502</f>
        <v>0.36546338965693803</v>
      </c>
      <c r="G40" s="47">
        <f>Ownership!E501/Ownership!E502</f>
        <v>0.57145585156488654</v>
      </c>
      <c r="H40" s="73">
        <f>F40*C40</f>
        <v>1412.2236303123398</v>
      </c>
      <c r="I40" s="73">
        <f t="shared" si="13"/>
        <v>2208.2197016170344</v>
      </c>
      <c r="J40" s="65">
        <f>Ownership!D496/Ownership!D502</f>
        <v>0.18010752688172038</v>
      </c>
      <c r="K40" s="65">
        <f>Ownership!E496/Ownership!E502</f>
        <v>0.34830855146428852</v>
      </c>
      <c r="L40" s="65">
        <f>Ownership!D497/Ownership!D502</f>
        <v>2.5601638504864311E-4</v>
      </c>
      <c r="M40" s="65">
        <f>Ownership!E497/Ownership!E502</f>
        <v>5.4638327383547307E-3</v>
      </c>
      <c r="N40" s="65">
        <f>Ownership!D498/Ownership!D502</f>
        <v>0.10023041474654378</v>
      </c>
      <c r="O40" s="65">
        <f>Ownership!E498/Ownership!E502</f>
        <v>6.0102160121902042E-3</v>
      </c>
      <c r="P40" s="65">
        <f>Ownership!D499/Ownership!D502</f>
        <v>0</v>
      </c>
      <c r="Q40" s="65">
        <f>Ownership!E499/Ownership!E502</f>
        <v>3.3875762977799333E-3</v>
      </c>
      <c r="R40" s="65">
        <f>Ownership!D500/Ownership!D502</f>
        <v>3.4178187403993858E-2</v>
      </c>
      <c r="S40" s="65">
        <f>Ownership!E500/Ownership!E502</f>
        <v>6.1959863252942643E-2</v>
      </c>
      <c r="T40" s="77">
        <f t="shared" si="12"/>
        <v>695.97150537634388</v>
      </c>
      <c r="U40" s="77">
        <f t="shared" ref="U40:U76" si="24">K40*$C40</f>
        <v>1345.9339045683037</v>
      </c>
      <c r="V40" s="77">
        <f t="shared" ref="V40:V76" si="25">L40*$C40</f>
        <v>0.98929851510496669</v>
      </c>
      <c r="W40" s="77">
        <f t="shared" ref="W40:W76" si="26">M40*$C40</f>
        <v>21.11334246755035</v>
      </c>
      <c r="X40" s="77">
        <f t="shared" ref="X40:X76" si="27">N40*$C40</f>
        <v>387.31036866359443</v>
      </c>
      <c r="Y40" s="77">
        <f t="shared" ref="Y40:Y76" si="28">O40*$C40</f>
        <v>23.224676714305385</v>
      </c>
      <c r="Z40" s="77">
        <f t="shared" ref="Z40:Z76" si="29">P40*$C40</f>
        <v>0</v>
      </c>
      <c r="AA40" s="77">
        <f t="shared" ref="AA40:AA76" si="30">Q40*$C40</f>
        <v>13.090272329881218</v>
      </c>
      <c r="AB40" s="77">
        <f t="shared" ref="AB40:AB76" si="31">R40*$C40</f>
        <v>132.07135176651306</v>
      </c>
      <c r="AC40" s="77">
        <f t="shared" ref="AC40:AC76" si="32">S40*$C40</f>
        <v>239.42530358202094</v>
      </c>
      <c r="AD40" s="46"/>
      <c r="AE40" s="46"/>
      <c r="AF40" s="46"/>
      <c r="AG40" s="46"/>
    </row>
    <row r="41" spans="1:33" ht="43.9" thickBot="1">
      <c r="A41" s="51" t="s">
        <v>101</v>
      </c>
      <c r="B41" s="48" t="s">
        <v>35</v>
      </c>
      <c r="C41" s="48"/>
      <c r="D41" s="48">
        <v>18.899999999999999</v>
      </c>
      <c r="E41" s="48">
        <v>7</v>
      </c>
      <c r="F41" s="52">
        <f>Ownership!D983/Ownership!D984</f>
        <v>1</v>
      </c>
      <c r="G41" s="52">
        <f>Ownership!E983/Ownership!E984</f>
        <v>0</v>
      </c>
      <c r="H41" s="73">
        <f>F41*D41</f>
        <v>18.899999999999999</v>
      </c>
      <c r="I41" s="73">
        <f>G41*D41</f>
        <v>0</v>
      </c>
      <c r="J41" s="65">
        <f>Ownership!D978/Ownership!D984</f>
        <v>1</v>
      </c>
      <c r="K41" s="65">
        <v>0</v>
      </c>
      <c r="L41" s="65">
        <v>0</v>
      </c>
      <c r="M41" s="65">
        <v>0</v>
      </c>
      <c r="N41" s="65">
        <v>0</v>
      </c>
      <c r="O41" s="65">
        <v>0</v>
      </c>
      <c r="P41" s="65">
        <v>0</v>
      </c>
      <c r="Q41" s="65">
        <v>0</v>
      </c>
      <c r="R41" s="65">
        <v>0</v>
      </c>
      <c r="S41" s="65">
        <v>0</v>
      </c>
      <c r="T41" s="77">
        <f>J41*$D41</f>
        <v>18.899999999999999</v>
      </c>
      <c r="U41" s="77">
        <f t="shared" ref="U41:AC41" si="33">K41*$D41</f>
        <v>0</v>
      </c>
      <c r="V41" s="77">
        <f t="shared" si="33"/>
        <v>0</v>
      </c>
      <c r="W41" s="77">
        <f t="shared" si="33"/>
        <v>0</v>
      </c>
      <c r="X41" s="77">
        <f t="shared" si="33"/>
        <v>0</v>
      </c>
      <c r="Y41" s="77">
        <f t="shared" si="33"/>
        <v>0</v>
      </c>
      <c r="Z41" s="77">
        <f t="shared" si="33"/>
        <v>0</v>
      </c>
      <c r="AA41" s="77">
        <f t="shared" si="33"/>
        <v>0</v>
      </c>
      <c r="AB41" s="77">
        <f t="shared" si="33"/>
        <v>0</v>
      </c>
      <c r="AC41" s="77">
        <f t="shared" si="33"/>
        <v>0</v>
      </c>
      <c r="AD41" s="48" t="s">
        <v>102</v>
      </c>
      <c r="AE41" s="48" t="s">
        <v>35</v>
      </c>
      <c r="AF41" s="48" t="s">
        <v>62</v>
      </c>
      <c r="AG41" s="48" t="s">
        <v>62</v>
      </c>
    </row>
    <row r="42" spans="1:33" s="37" customFormat="1" ht="15" thickBot="1">
      <c r="A42" s="42" t="s">
        <v>103</v>
      </c>
      <c r="B42" s="43" t="s">
        <v>41</v>
      </c>
      <c r="C42" s="43"/>
      <c r="D42" s="43"/>
      <c r="E42" s="43"/>
      <c r="F42" s="44"/>
      <c r="G42" s="44"/>
      <c r="H42" s="73">
        <f t="shared" si="19"/>
        <v>0</v>
      </c>
      <c r="I42" s="73">
        <f t="shared" si="13"/>
        <v>0</v>
      </c>
      <c r="J42" s="66"/>
      <c r="K42" s="66"/>
      <c r="L42" s="66"/>
      <c r="M42" s="66"/>
      <c r="N42" s="66"/>
      <c r="O42" s="66"/>
      <c r="P42" s="66"/>
      <c r="Q42" s="66"/>
      <c r="R42" s="66"/>
      <c r="S42" s="66"/>
      <c r="T42" s="77">
        <f>J42*$C42</f>
        <v>0</v>
      </c>
      <c r="U42" s="77">
        <f t="shared" ref="U42:AC47" si="34">K42*$C42</f>
        <v>0</v>
      </c>
      <c r="V42" s="77">
        <f t="shared" si="34"/>
        <v>0</v>
      </c>
      <c r="W42" s="77">
        <f t="shared" si="34"/>
        <v>0</v>
      </c>
      <c r="X42" s="77">
        <f t="shared" si="34"/>
        <v>0</v>
      </c>
      <c r="Y42" s="77">
        <f t="shared" si="34"/>
        <v>0</v>
      </c>
      <c r="Z42" s="77">
        <f t="shared" si="34"/>
        <v>0</v>
      </c>
      <c r="AA42" s="77">
        <f t="shared" si="34"/>
        <v>0</v>
      </c>
      <c r="AB42" s="77">
        <f t="shared" si="34"/>
        <v>0</v>
      </c>
      <c r="AC42" s="77">
        <f t="shared" si="34"/>
        <v>0</v>
      </c>
      <c r="AD42" s="43"/>
      <c r="AE42" s="43"/>
      <c r="AF42" s="43"/>
      <c r="AG42" s="43"/>
    </row>
    <row r="43" spans="1:33" ht="15" thickBot="1">
      <c r="A43" s="51" t="s">
        <v>104</v>
      </c>
      <c r="B43" s="48" t="s">
        <v>39</v>
      </c>
      <c r="C43" s="48">
        <v>112.7</v>
      </c>
      <c r="D43" s="48"/>
      <c r="E43" s="48">
        <v>1</v>
      </c>
      <c r="F43" s="52">
        <f>Ownership!D995/Ownership!D996</f>
        <v>0</v>
      </c>
      <c r="G43" s="48">
        <f>Ownership!E995/Ownership!E996</f>
        <v>0</v>
      </c>
      <c r="H43" s="73">
        <f t="shared" si="19"/>
        <v>0</v>
      </c>
      <c r="I43" s="73">
        <f t="shared" si="13"/>
        <v>0</v>
      </c>
      <c r="J43" s="65">
        <v>0</v>
      </c>
      <c r="K43" s="65">
        <v>0</v>
      </c>
      <c r="L43" s="65">
        <v>0</v>
      </c>
      <c r="M43" s="65">
        <v>0</v>
      </c>
      <c r="N43" s="65">
        <v>0</v>
      </c>
      <c r="O43" s="65">
        <v>0</v>
      </c>
      <c r="P43" s="65">
        <v>0</v>
      </c>
      <c r="Q43" s="65">
        <v>0</v>
      </c>
      <c r="R43" s="65">
        <v>0</v>
      </c>
      <c r="S43" s="65">
        <v>0</v>
      </c>
      <c r="T43" s="77">
        <f t="shared" si="12"/>
        <v>0</v>
      </c>
      <c r="U43" s="77">
        <f t="shared" si="34"/>
        <v>0</v>
      </c>
      <c r="V43" s="77">
        <f t="shared" si="34"/>
        <v>0</v>
      </c>
      <c r="W43" s="77">
        <f t="shared" si="34"/>
        <v>0</v>
      </c>
      <c r="X43" s="77">
        <f t="shared" si="34"/>
        <v>0</v>
      </c>
      <c r="Y43" s="77">
        <f t="shared" si="34"/>
        <v>0</v>
      </c>
      <c r="Z43" s="77">
        <f t="shared" si="34"/>
        <v>0</v>
      </c>
      <c r="AA43" s="77">
        <f t="shared" si="34"/>
        <v>0</v>
      </c>
      <c r="AB43" s="77">
        <f t="shared" si="34"/>
        <v>0</v>
      </c>
      <c r="AC43" s="77">
        <f t="shared" si="34"/>
        <v>0</v>
      </c>
      <c r="AD43" s="49" t="s">
        <v>105</v>
      </c>
      <c r="AE43" s="48" t="s">
        <v>39</v>
      </c>
      <c r="AF43" s="48" t="s">
        <v>62</v>
      </c>
      <c r="AG43" s="48">
        <v>2</v>
      </c>
    </row>
    <row r="44" spans="1:33" ht="29.45" thickBot="1">
      <c r="A44" s="45" t="s">
        <v>106</v>
      </c>
      <c r="B44" s="46" t="s">
        <v>80</v>
      </c>
      <c r="C44" s="46">
        <v>0.3</v>
      </c>
      <c r="D44" s="46"/>
      <c r="E44" s="46">
        <v>3</v>
      </c>
      <c r="F44" s="47">
        <f>Ownership!D1007/Ownership!D1008</f>
        <v>0</v>
      </c>
      <c r="G44" s="47">
        <f>Ownership!E1007</f>
        <v>0</v>
      </c>
      <c r="H44" s="73">
        <f t="shared" si="19"/>
        <v>0</v>
      </c>
      <c r="I44" s="73">
        <f t="shared" si="13"/>
        <v>0</v>
      </c>
      <c r="J44" s="65">
        <v>0</v>
      </c>
      <c r="K44" s="65">
        <v>0</v>
      </c>
      <c r="L44" s="65">
        <v>0</v>
      </c>
      <c r="M44" s="65">
        <v>0</v>
      </c>
      <c r="N44" s="65">
        <v>0</v>
      </c>
      <c r="O44" s="65">
        <v>0</v>
      </c>
      <c r="P44" s="65">
        <v>0</v>
      </c>
      <c r="Q44" s="65">
        <v>0</v>
      </c>
      <c r="R44" s="65">
        <v>0</v>
      </c>
      <c r="S44" s="65">
        <v>0</v>
      </c>
      <c r="T44" s="77">
        <f>J44*$C44</f>
        <v>0</v>
      </c>
      <c r="U44" s="77">
        <f t="shared" si="34"/>
        <v>0</v>
      </c>
      <c r="V44" s="77">
        <f t="shared" si="34"/>
        <v>0</v>
      </c>
      <c r="W44" s="77">
        <f t="shared" si="34"/>
        <v>0</v>
      </c>
      <c r="X44" s="77">
        <f t="shared" si="34"/>
        <v>0</v>
      </c>
      <c r="Y44" s="77">
        <f t="shared" si="34"/>
        <v>0</v>
      </c>
      <c r="Z44" s="77">
        <f t="shared" si="34"/>
        <v>0</v>
      </c>
      <c r="AA44" s="77">
        <f t="shared" si="34"/>
        <v>0</v>
      </c>
      <c r="AB44" s="77">
        <f t="shared" si="34"/>
        <v>0</v>
      </c>
      <c r="AC44" s="77">
        <f t="shared" si="34"/>
        <v>0</v>
      </c>
      <c r="AD44" s="46" t="s">
        <v>107</v>
      </c>
      <c r="AE44" s="46" t="s">
        <v>62</v>
      </c>
      <c r="AF44" s="46" t="s">
        <v>62</v>
      </c>
      <c r="AG44" s="46" t="s">
        <v>62</v>
      </c>
    </row>
    <row r="45" spans="1:33" ht="15" thickBot="1">
      <c r="A45" s="51" t="s">
        <v>108</v>
      </c>
      <c r="B45" s="49" t="s">
        <v>47</v>
      </c>
      <c r="C45" s="48">
        <v>100.7</v>
      </c>
      <c r="D45" s="48"/>
      <c r="E45" s="49">
        <v>1</v>
      </c>
      <c r="F45" s="59">
        <f>Ownership!D110/Ownership!D111</f>
        <v>0</v>
      </c>
      <c r="G45" s="59">
        <f>Ownership!E110/Ownership!E111</f>
        <v>0.45922746781115881</v>
      </c>
      <c r="H45" s="73">
        <f t="shared" si="19"/>
        <v>0</v>
      </c>
      <c r="I45" s="73">
        <f t="shared" si="13"/>
        <v>46.244206008583696</v>
      </c>
      <c r="J45" s="65">
        <v>0</v>
      </c>
      <c r="K45" s="65">
        <f>Ownership!E105/Ownership!E111</f>
        <v>0.15879828326180259</v>
      </c>
      <c r="L45" s="65">
        <v>0</v>
      </c>
      <c r="M45" s="65">
        <f>Ownership!E106/Ownership!E111</f>
        <v>0</v>
      </c>
      <c r="N45" s="65">
        <v>0</v>
      </c>
      <c r="O45" s="65">
        <f>Ownership!E107/Ownership!E111</f>
        <v>0.15665236051502146</v>
      </c>
      <c r="P45" s="65">
        <v>0</v>
      </c>
      <c r="Q45" s="65">
        <f>Ownership!E108/Ownership!E111</f>
        <v>0.14377682403433478</v>
      </c>
      <c r="R45" s="65">
        <v>0</v>
      </c>
      <c r="S45" s="65">
        <f>Ownership!E109/Ownership!E111</f>
        <v>0</v>
      </c>
      <c r="T45" s="77">
        <f t="shared" si="12"/>
        <v>0</v>
      </c>
      <c r="U45" s="77">
        <f t="shared" si="34"/>
        <v>15.990987124463521</v>
      </c>
      <c r="V45" s="77">
        <f t="shared" si="34"/>
        <v>0</v>
      </c>
      <c r="W45" s="77">
        <f t="shared" si="34"/>
        <v>0</v>
      </c>
      <c r="X45" s="77">
        <f t="shared" si="34"/>
        <v>0</v>
      </c>
      <c r="Y45" s="77">
        <f t="shared" si="34"/>
        <v>15.774892703862662</v>
      </c>
      <c r="Z45" s="77">
        <f t="shared" si="34"/>
        <v>0</v>
      </c>
      <c r="AA45" s="77">
        <f t="shared" si="34"/>
        <v>14.478326180257513</v>
      </c>
      <c r="AB45" s="77">
        <f t="shared" si="34"/>
        <v>0</v>
      </c>
      <c r="AC45" s="77">
        <f t="shared" si="34"/>
        <v>0</v>
      </c>
      <c r="AD45" s="48" t="s">
        <v>53</v>
      </c>
      <c r="AE45" s="48" t="s">
        <v>39</v>
      </c>
      <c r="AF45" s="48">
        <v>1037</v>
      </c>
      <c r="AG45" s="48">
        <v>18</v>
      </c>
    </row>
    <row r="46" spans="1:33" ht="15" thickBot="1">
      <c r="A46" s="51" t="s">
        <v>53</v>
      </c>
      <c r="B46" s="48" t="s">
        <v>39</v>
      </c>
      <c r="C46" s="48">
        <v>1037</v>
      </c>
      <c r="D46" s="48"/>
      <c r="E46" s="48">
        <v>18</v>
      </c>
      <c r="F46" s="52">
        <f>Ownership!D110/Ownership!D111</f>
        <v>0</v>
      </c>
      <c r="G46" s="52">
        <f>Ownership!E110/Ownership!E111</f>
        <v>0.45922746781115881</v>
      </c>
      <c r="H46" s="73">
        <f t="shared" si="19"/>
        <v>0</v>
      </c>
      <c r="I46" s="73">
        <f t="shared" si="13"/>
        <v>476.21888412017171</v>
      </c>
      <c r="J46" s="65">
        <v>0</v>
      </c>
      <c r="K46" s="65">
        <f>K45</f>
        <v>0.15879828326180259</v>
      </c>
      <c r="L46" s="65">
        <f t="shared" ref="L46:S46" si="35">L45</f>
        <v>0</v>
      </c>
      <c r="M46" s="65">
        <f t="shared" si="35"/>
        <v>0</v>
      </c>
      <c r="N46" s="65">
        <f t="shared" si="35"/>
        <v>0</v>
      </c>
      <c r="O46" s="65">
        <f t="shared" si="35"/>
        <v>0.15665236051502146</v>
      </c>
      <c r="P46" s="65">
        <f t="shared" si="35"/>
        <v>0</v>
      </c>
      <c r="Q46" s="65">
        <f t="shared" si="35"/>
        <v>0.14377682403433478</v>
      </c>
      <c r="R46" s="65">
        <f t="shared" si="35"/>
        <v>0</v>
      </c>
      <c r="S46" s="65">
        <f t="shared" si="35"/>
        <v>0</v>
      </c>
      <c r="T46" s="77">
        <f t="shared" si="12"/>
        <v>0</v>
      </c>
      <c r="U46" s="77">
        <f t="shared" si="34"/>
        <v>164.67381974248929</v>
      </c>
      <c r="V46" s="77">
        <f t="shared" si="34"/>
        <v>0</v>
      </c>
      <c r="W46" s="77">
        <f t="shared" si="34"/>
        <v>0</v>
      </c>
      <c r="X46" s="77">
        <f t="shared" si="34"/>
        <v>0</v>
      </c>
      <c r="Y46" s="77">
        <f t="shared" si="34"/>
        <v>162.44849785407726</v>
      </c>
      <c r="Z46" s="77">
        <f t="shared" si="34"/>
        <v>0</v>
      </c>
      <c r="AA46" s="77">
        <f t="shared" si="34"/>
        <v>149.09656652360516</v>
      </c>
      <c r="AB46" s="77">
        <f t="shared" si="34"/>
        <v>0</v>
      </c>
      <c r="AC46" s="77">
        <f t="shared" si="34"/>
        <v>0</v>
      </c>
      <c r="AD46" s="48" t="s">
        <v>109</v>
      </c>
      <c r="AE46" s="48"/>
      <c r="AF46" s="48"/>
      <c r="AG46" s="48"/>
    </row>
    <row r="47" spans="1:33" ht="15" thickBot="1">
      <c r="A47" s="45" t="s">
        <v>110</v>
      </c>
      <c r="B47" s="46" t="s">
        <v>44</v>
      </c>
      <c r="C47" s="46">
        <v>0.1</v>
      </c>
      <c r="D47" s="46"/>
      <c r="E47" s="46">
        <v>1</v>
      </c>
      <c r="F47" s="47">
        <f>Ownership!D1018/Ownership!D1019</f>
        <v>0</v>
      </c>
      <c r="G47" s="47">
        <f>Ownership!E1018</f>
        <v>0</v>
      </c>
      <c r="H47" s="73">
        <f t="shared" si="19"/>
        <v>0</v>
      </c>
      <c r="I47" s="73">
        <f t="shared" si="13"/>
        <v>0</v>
      </c>
      <c r="J47" s="65">
        <v>0</v>
      </c>
      <c r="K47" s="65">
        <v>0</v>
      </c>
      <c r="L47" s="65">
        <v>0</v>
      </c>
      <c r="M47" s="65">
        <v>0</v>
      </c>
      <c r="N47" s="65">
        <v>0</v>
      </c>
      <c r="O47" s="65">
        <v>0</v>
      </c>
      <c r="P47" s="65">
        <v>0</v>
      </c>
      <c r="Q47" s="65">
        <v>0</v>
      </c>
      <c r="R47" s="65">
        <v>0</v>
      </c>
      <c r="S47" s="65">
        <v>0</v>
      </c>
      <c r="T47" s="77">
        <f t="shared" si="12"/>
        <v>0</v>
      </c>
      <c r="U47" s="77">
        <f t="shared" si="34"/>
        <v>0</v>
      </c>
      <c r="V47" s="77">
        <f t="shared" si="34"/>
        <v>0</v>
      </c>
      <c r="W47" s="77">
        <f t="shared" si="34"/>
        <v>0</v>
      </c>
      <c r="X47" s="77">
        <f t="shared" si="34"/>
        <v>0</v>
      </c>
      <c r="Y47" s="77">
        <f t="shared" si="34"/>
        <v>0</v>
      </c>
      <c r="Z47" s="77">
        <f t="shared" si="34"/>
        <v>0</v>
      </c>
      <c r="AA47" s="77">
        <f t="shared" si="34"/>
        <v>0</v>
      </c>
      <c r="AB47" s="77">
        <f t="shared" si="34"/>
        <v>0</v>
      </c>
      <c r="AC47" s="77">
        <f t="shared" si="34"/>
        <v>0</v>
      </c>
      <c r="AD47" s="46"/>
      <c r="AE47" s="46"/>
      <c r="AF47" s="46"/>
      <c r="AG47" s="46"/>
    </row>
    <row r="48" spans="1:33" s="37" customFormat="1" ht="29.45" thickBot="1">
      <c r="A48" s="42" t="s">
        <v>111</v>
      </c>
      <c r="B48" s="43" t="s">
        <v>33</v>
      </c>
      <c r="C48" s="43"/>
      <c r="D48" s="43">
        <v>2.2000000000000002</v>
      </c>
      <c r="E48" s="43">
        <v>1</v>
      </c>
      <c r="F48" s="44"/>
      <c r="G48" s="44"/>
      <c r="H48" s="73">
        <f>F48*D48</f>
        <v>0</v>
      </c>
      <c r="I48" s="73">
        <f>G48*D48</f>
        <v>0</v>
      </c>
      <c r="J48" s="66"/>
      <c r="K48" s="66"/>
      <c r="L48" s="66"/>
      <c r="M48" s="66"/>
      <c r="N48" s="66"/>
      <c r="O48" s="66"/>
      <c r="P48" s="66"/>
      <c r="Q48" s="66"/>
      <c r="R48" s="66"/>
      <c r="S48" s="66"/>
      <c r="T48" s="77">
        <f>J48*$D48</f>
        <v>0</v>
      </c>
      <c r="U48" s="77">
        <f t="shared" ref="U48:AC48" si="36">K48*$D48</f>
        <v>0</v>
      </c>
      <c r="V48" s="77">
        <f t="shared" si="36"/>
        <v>0</v>
      </c>
      <c r="W48" s="77">
        <f t="shared" si="36"/>
        <v>0</v>
      </c>
      <c r="X48" s="77">
        <f t="shared" si="36"/>
        <v>0</v>
      </c>
      <c r="Y48" s="77">
        <f t="shared" si="36"/>
        <v>0</v>
      </c>
      <c r="Z48" s="77">
        <f t="shared" si="36"/>
        <v>0</v>
      </c>
      <c r="AA48" s="77">
        <f t="shared" si="36"/>
        <v>0</v>
      </c>
      <c r="AB48" s="77">
        <f t="shared" si="36"/>
        <v>0</v>
      </c>
      <c r="AC48" s="77">
        <f t="shared" si="36"/>
        <v>0</v>
      </c>
      <c r="AD48" s="43" t="s">
        <v>112</v>
      </c>
      <c r="AE48" s="43" t="s">
        <v>113</v>
      </c>
      <c r="AF48" s="43" t="s">
        <v>62</v>
      </c>
      <c r="AG48" s="43" t="s">
        <v>62</v>
      </c>
    </row>
    <row r="49" spans="1:33" ht="15" thickBot="1">
      <c r="A49" s="51" t="s">
        <v>114</v>
      </c>
      <c r="B49" s="48" t="s">
        <v>33</v>
      </c>
      <c r="C49" s="48">
        <v>165.8</v>
      </c>
      <c r="D49" s="48"/>
      <c r="E49" s="48">
        <v>1</v>
      </c>
      <c r="F49" s="52">
        <f>Ownership!D683/Ownership!D684</f>
        <v>0</v>
      </c>
      <c r="G49" s="52">
        <f>Ownership!E683/Ownership!E684</f>
        <v>0</v>
      </c>
      <c r="H49" s="73">
        <f t="shared" si="19"/>
        <v>0</v>
      </c>
      <c r="I49" s="73">
        <f t="shared" si="13"/>
        <v>0</v>
      </c>
      <c r="J49" s="65">
        <v>0</v>
      </c>
      <c r="K49" s="65">
        <v>0</v>
      </c>
      <c r="L49" s="65">
        <v>0</v>
      </c>
      <c r="M49" s="65">
        <v>0</v>
      </c>
      <c r="N49" s="65">
        <v>0</v>
      </c>
      <c r="O49" s="65">
        <v>0</v>
      </c>
      <c r="P49" s="65">
        <v>0</v>
      </c>
      <c r="Q49" s="65">
        <v>0</v>
      </c>
      <c r="R49" s="65">
        <v>0</v>
      </c>
      <c r="S49" s="65">
        <v>0</v>
      </c>
      <c r="T49" s="77">
        <f t="shared" si="12"/>
        <v>0</v>
      </c>
      <c r="U49" s="77">
        <f t="shared" ref="U49:U76" si="37">K49*$C49</f>
        <v>0</v>
      </c>
      <c r="V49" s="77">
        <f t="shared" ref="V49:V76" si="38">L49*$C49</f>
        <v>0</v>
      </c>
      <c r="W49" s="77">
        <f t="shared" ref="W49:W76" si="39">M49*$C49</f>
        <v>0</v>
      </c>
      <c r="X49" s="77">
        <f t="shared" ref="X49:X76" si="40">N49*$C49</f>
        <v>0</v>
      </c>
      <c r="Y49" s="77">
        <f t="shared" ref="Y49:Y76" si="41">O49*$C49</f>
        <v>0</v>
      </c>
      <c r="Z49" s="77">
        <f t="shared" ref="Z49:Z76" si="42">P49*$C49</f>
        <v>0</v>
      </c>
      <c r="AA49" s="77">
        <f t="shared" ref="AA49:AA76" si="43">Q49*$C49</f>
        <v>0</v>
      </c>
      <c r="AB49" s="77">
        <f t="shared" ref="AB49:AB76" si="44">R49*$C49</f>
        <v>0</v>
      </c>
      <c r="AC49" s="77">
        <f t="shared" ref="AC49:AC76" si="45">S49*$C49</f>
        <v>0</v>
      </c>
      <c r="AD49" s="48" t="s">
        <v>115</v>
      </c>
      <c r="AE49" s="48" t="s">
        <v>33</v>
      </c>
      <c r="AF49" s="48" t="s">
        <v>62</v>
      </c>
      <c r="AG49" s="48" t="s">
        <v>62</v>
      </c>
    </row>
    <row r="50" spans="1:33" ht="15" thickBot="1">
      <c r="A50" s="45" t="s">
        <v>116</v>
      </c>
      <c r="B50" s="46" t="s">
        <v>33</v>
      </c>
      <c r="C50" s="46"/>
      <c r="D50" s="46">
        <v>705.6</v>
      </c>
      <c r="E50" s="46">
        <v>3</v>
      </c>
      <c r="F50" s="47">
        <f>Ownership!D821/Ownership!D822</f>
        <v>0.2753897024090694</v>
      </c>
      <c r="G50" s="47">
        <f>Ownership!E821/Ownership!E822</f>
        <v>0.57736713209133783</v>
      </c>
      <c r="H50" s="73">
        <f>F50*D50</f>
        <v>194.31497401983938</v>
      </c>
      <c r="I50" s="73">
        <f>G50*D50</f>
        <v>407.390248403648</v>
      </c>
      <c r="J50" s="65">
        <f>Ownership!D816/Ownership!D822</f>
        <v>9.5536136041568229E-2</v>
      </c>
      <c r="K50" s="65">
        <f>Ownership!E816/Ownership!E822</f>
        <v>0.27015159846261255</v>
      </c>
      <c r="L50" s="65">
        <f>Ownership!D817/Ownership!D822</f>
        <v>0</v>
      </c>
      <c r="M50" s="65">
        <f>Ownership!E817/Ownership!E822</f>
        <v>2.4081018595325198E-2</v>
      </c>
      <c r="N50" s="65">
        <f>Ownership!D818/Ownership!D822</f>
        <v>0.11856400566839866</v>
      </c>
      <c r="O50" s="65">
        <f>Ownership!E818/Ownership!E822</f>
        <v>0.1476000760004321</v>
      </c>
      <c r="P50" s="65">
        <f>Ownership!D819/Ownership!D822</f>
        <v>0</v>
      </c>
      <c r="Q50" s="65">
        <f>Ownership!E819/Ownership!E822</f>
        <v>2.2734558391792749E-3</v>
      </c>
      <c r="R50" s="65">
        <f>Ownership!D820/Ownership!D822</f>
        <v>0</v>
      </c>
      <c r="S50" s="65">
        <f>Ownership!E820/Ownership!E822</f>
        <v>2.9016475842156535E-3</v>
      </c>
      <c r="T50" s="77">
        <f>J50*$D50</f>
        <v>67.41029759093054</v>
      </c>
      <c r="U50" s="77">
        <f t="shared" ref="U50:AC50" si="46">K50*$D50</f>
        <v>190.61896787521943</v>
      </c>
      <c r="V50" s="77">
        <f t="shared" si="46"/>
        <v>0</v>
      </c>
      <c r="W50" s="77">
        <f t="shared" si="46"/>
        <v>16.99156672086146</v>
      </c>
      <c r="X50" s="77">
        <f t="shared" si="46"/>
        <v>83.658762399622091</v>
      </c>
      <c r="Y50" s="77">
        <f t="shared" si="46"/>
        <v>104.14661362590489</v>
      </c>
      <c r="Z50" s="77">
        <f t="shared" si="46"/>
        <v>0</v>
      </c>
      <c r="AA50" s="77">
        <f t="shared" si="46"/>
        <v>1.6041504401248965</v>
      </c>
      <c r="AB50" s="77">
        <f t="shared" si="46"/>
        <v>0</v>
      </c>
      <c r="AC50" s="77">
        <f t="shared" si="46"/>
        <v>2.0474025354225653</v>
      </c>
      <c r="AD50" s="48" t="s">
        <v>117</v>
      </c>
      <c r="AE50" s="49" t="s">
        <v>35</v>
      </c>
      <c r="AF50" s="49">
        <v>18434.2</v>
      </c>
      <c r="AG50" s="48">
        <v>80</v>
      </c>
    </row>
    <row r="51" spans="1:33" ht="15" thickBot="1">
      <c r="A51" s="51" t="s">
        <v>118</v>
      </c>
      <c r="B51" s="49" t="s">
        <v>35</v>
      </c>
      <c r="C51" s="48">
        <v>11.9</v>
      </c>
      <c r="D51" s="48"/>
      <c r="E51" s="49">
        <v>2</v>
      </c>
      <c r="F51" s="59">
        <f>Ownership!D821/Ownership!D822</f>
        <v>0.2753897024090694</v>
      </c>
      <c r="G51" s="59">
        <f>Ownership!E821/Ownership!E822</f>
        <v>0.57736713209133783</v>
      </c>
      <c r="H51" s="73">
        <f t="shared" si="19"/>
        <v>3.2771374586679261</v>
      </c>
      <c r="I51" s="73">
        <f t="shared" si="13"/>
        <v>6.8706688718869202</v>
      </c>
      <c r="J51" s="65">
        <f>J$50</f>
        <v>9.5536136041568229E-2</v>
      </c>
      <c r="K51" s="65">
        <f t="shared" ref="K51:S57" si="47">K$50</f>
        <v>0.27015159846261255</v>
      </c>
      <c r="L51" s="65">
        <f t="shared" si="47"/>
        <v>0</v>
      </c>
      <c r="M51" s="65">
        <f t="shared" si="47"/>
        <v>2.4081018595325198E-2</v>
      </c>
      <c r="N51" s="65">
        <f t="shared" si="47"/>
        <v>0.11856400566839866</v>
      </c>
      <c r="O51" s="65">
        <f t="shared" si="47"/>
        <v>0.1476000760004321</v>
      </c>
      <c r="P51" s="65">
        <f t="shared" si="47"/>
        <v>0</v>
      </c>
      <c r="Q51" s="65">
        <f t="shared" si="47"/>
        <v>2.2734558391792749E-3</v>
      </c>
      <c r="R51" s="65">
        <f t="shared" si="47"/>
        <v>0</v>
      </c>
      <c r="S51" s="65">
        <f t="shared" si="47"/>
        <v>2.9016475842156535E-3</v>
      </c>
      <c r="T51" s="77">
        <f t="shared" si="12"/>
        <v>1.1368800188946619</v>
      </c>
      <c r="U51" s="77">
        <f t="shared" ref="U51:U76" si="48">K51*$C51</f>
        <v>3.2148040217050893</v>
      </c>
      <c r="V51" s="77">
        <f t="shared" ref="V51:V76" si="49">L51*$C51</f>
        <v>0</v>
      </c>
      <c r="W51" s="77">
        <f t="shared" ref="W51:W76" si="50">M51*$C51</f>
        <v>0.28656412128436987</v>
      </c>
      <c r="X51" s="77">
        <f t="shared" ref="X51:X76" si="51">N51*$C51</f>
        <v>1.4109116674539441</v>
      </c>
      <c r="Y51" s="77">
        <f t="shared" ref="Y51:Y76" si="52">O51*$C51</f>
        <v>1.7564409044051419</v>
      </c>
      <c r="Z51" s="77">
        <f t="shared" ref="Z51:Z76" si="53">P51*$C51</f>
        <v>0</v>
      </c>
      <c r="AA51" s="77">
        <f t="shared" ref="AA51:AA76" si="54">Q51*$C51</f>
        <v>2.7054124486233372E-2</v>
      </c>
      <c r="AB51" s="77">
        <f t="shared" ref="AB51:AB76" si="55">R51*$C51</f>
        <v>0</v>
      </c>
      <c r="AC51" s="77">
        <f t="shared" ref="AC51:AC76" si="56">S51*$C51</f>
        <v>3.4529606252166278E-2</v>
      </c>
      <c r="AD51" s="38" t="s">
        <v>117</v>
      </c>
      <c r="AE51" s="49" t="s">
        <v>35</v>
      </c>
      <c r="AF51" s="49">
        <v>18434.2</v>
      </c>
      <c r="AG51" s="48">
        <v>80</v>
      </c>
    </row>
    <row r="52" spans="1:33" ht="15" thickBot="1">
      <c r="A52" s="51" t="s">
        <v>119</v>
      </c>
      <c r="B52" s="48" t="s">
        <v>35</v>
      </c>
      <c r="C52" s="48">
        <v>163.69999999999999</v>
      </c>
      <c r="D52" s="48"/>
      <c r="E52" s="48">
        <v>2</v>
      </c>
      <c r="F52" s="52">
        <f>Ownership!D821/Ownership!D822</f>
        <v>0.2753897024090694</v>
      </c>
      <c r="G52" s="52">
        <f>Ownership!E821/Ownership!E822</f>
        <v>0.57736713209133783</v>
      </c>
      <c r="H52" s="73">
        <f t="shared" si="19"/>
        <v>45.08129428436466</v>
      </c>
      <c r="I52" s="73">
        <f t="shared" si="13"/>
        <v>94.514999523352003</v>
      </c>
      <c r="J52" s="65">
        <f t="shared" ref="J52:J57" si="57">J$50</f>
        <v>9.5536136041568229E-2</v>
      </c>
      <c r="K52" s="65">
        <f t="shared" si="47"/>
        <v>0.27015159846261255</v>
      </c>
      <c r="L52" s="65">
        <f t="shared" si="47"/>
        <v>0</v>
      </c>
      <c r="M52" s="65">
        <f t="shared" si="47"/>
        <v>2.4081018595325198E-2</v>
      </c>
      <c r="N52" s="65">
        <f t="shared" si="47"/>
        <v>0.11856400566839866</v>
      </c>
      <c r="O52" s="65">
        <f t="shared" si="47"/>
        <v>0.1476000760004321</v>
      </c>
      <c r="P52" s="65">
        <f t="shared" si="47"/>
        <v>0</v>
      </c>
      <c r="Q52" s="65">
        <f t="shared" si="47"/>
        <v>2.2734558391792749E-3</v>
      </c>
      <c r="R52" s="65">
        <f t="shared" si="47"/>
        <v>0</v>
      </c>
      <c r="S52" s="65">
        <f t="shared" si="47"/>
        <v>2.9016475842156535E-3</v>
      </c>
      <c r="T52" s="77">
        <f>J52*$C52</f>
        <v>15.639265470004718</v>
      </c>
      <c r="U52" s="77">
        <f t="shared" si="48"/>
        <v>44.223816668329668</v>
      </c>
      <c r="V52" s="77">
        <f t="shared" si="49"/>
        <v>0</v>
      </c>
      <c r="W52" s="77">
        <f t="shared" si="50"/>
        <v>3.9420627440547347</v>
      </c>
      <c r="X52" s="77">
        <f t="shared" si="51"/>
        <v>19.408927727916858</v>
      </c>
      <c r="Y52" s="77">
        <f t="shared" si="52"/>
        <v>24.162132441270732</v>
      </c>
      <c r="Z52" s="77">
        <f t="shared" si="53"/>
        <v>0</v>
      </c>
      <c r="AA52" s="77">
        <f t="shared" si="54"/>
        <v>0.37216472087364727</v>
      </c>
      <c r="AB52" s="77">
        <f t="shared" si="55"/>
        <v>0</v>
      </c>
      <c r="AC52" s="77">
        <f t="shared" si="56"/>
        <v>0.47499970953610243</v>
      </c>
      <c r="AD52" s="48" t="s">
        <v>117</v>
      </c>
      <c r="AE52" s="49" t="s">
        <v>35</v>
      </c>
      <c r="AF52" s="49">
        <v>18434.2</v>
      </c>
      <c r="AG52" s="48">
        <v>80</v>
      </c>
    </row>
    <row r="53" spans="1:33" ht="15" thickBot="1">
      <c r="A53" s="51" t="s">
        <v>120</v>
      </c>
      <c r="B53" s="48" t="s">
        <v>35</v>
      </c>
      <c r="C53" s="48">
        <v>725.8</v>
      </c>
      <c r="D53" s="48"/>
      <c r="E53" s="48">
        <v>1</v>
      </c>
      <c r="F53" s="52">
        <f>Ownership!D821/Ownership!D822</f>
        <v>0.2753897024090694</v>
      </c>
      <c r="G53" s="52">
        <f>Ownership!E821/Ownership!E822</f>
        <v>0.57736713209133783</v>
      </c>
      <c r="H53" s="73">
        <f t="shared" si="19"/>
        <v>199.87784600850256</v>
      </c>
      <c r="I53" s="73">
        <f t="shared" si="13"/>
        <v>419.05306447189298</v>
      </c>
      <c r="J53" s="65">
        <f t="shared" si="57"/>
        <v>9.5536136041568229E-2</v>
      </c>
      <c r="K53" s="65">
        <f t="shared" si="47"/>
        <v>0.27015159846261255</v>
      </c>
      <c r="L53" s="65">
        <f t="shared" si="47"/>
        <v>0</v>
      </c>
      <c r="M53" s="65">
        <f t="shared" si="47"/>
        <v>2.4081018595325198E-2</v>
      </c>
      <c r="N53" s="65">
        <f t="shared" si="47"/>
        <v>0.11856400566839866</v>
      </c>
      <c r="O53" s="65">
        <f t="shared" si="47"/>
        <v>0.1476000760004321</v>
      </c>
      <c r="P53" s="65">
        <f t="shared" si="47"/>
        <v>0</v>
      </c>
      <c r="Q53" s="65">
        <f t="shared" si="47"/>
        <v>2.2734558391792749E-3</v>
      </c>
      <c r="R53" s="65">
        <f t="shared" si="47"/>
        <v>0</v>
      </c>
      <c r="S53" s="65">
        <f t="shared" si="47"/>
        <v>2.9016475842156535E-3</v>
      </c>
      <c r="T53" s="77">
        <f t="shared" si="12"/>
        <v>69.340127538970222</v>
      </c>
      <c r="U53" s="77">
        <f t="shared" si="48"/>
        <v>196.07603016416417</v>
      </c>
      <c r="V53" s="77">
        <f t="shared" si="49"/>
        <v>0</v>
      </c>
      <c r="W53" s="77">
        <f t="shared" si="50"/>
        <v>17.478003296487028</v>
      </c>
      <c r="X53" s="77">
        <f t="shared" si="51"/>
        <v>86.053755314123734</v>
      </c>
      <c r="Y53" s="77">
        <f t="shared" si="52"/>
        <v>107.1281351611136</v>
      </c>
      <c r="Z53" s="77">
        <f t="shared" si="53"/>
        <v>0</v>
      </c>
      <c r="AA53" s="77">
        <f t="shared" si="54"/>
        <v>1.6500742480763175</v>
      </c>
      <c r="AB53" s="77">
        <f t="shared" si="55"/>
        <v>0</v>
      </c>
      <c r="AC53" s="77">
        <f t="shared" si="56"/>
        <v>2.1060158166237213</v>
      </c>
      <c r="AD53" s="48" t="s">
        <v>117</v>
      </c>
      <c r="AE53" s="49" t="s">
        <v>35</v>
      </c>
      <c r="AF53" s="49">
        <v>18434.2</v>
      </c>
      <c r="AG53" s="48">
        <v>80</v>
      </c>
    </row>
    <row r="54" spans="1:33" ht="29.45" thickBot="1">
      <c r="A54" s="51" t="s">
        <v>121</v>
      </c>
      <c r="B54" s="48" t="s">
        <v>35</v>
      </c>
      <c r="C54" s="48">
        <v>1631.6</v>
      </c>
      <c r="D54" s="48"/>
      <c r="E54" s="48">
        <v>2</v>
      </c>
      <c r="F54" s="52">
        <f>Ownership!D821/Ownership!D822</f>
        <v>0.2753897024090694</v>
      </c>
      <c r="G54" s="52">
        <f>Ownership!E821/Ownership!E822</f>
        <v>0.57736713209133783</v>
      </c>
      <c r="H54" s="73">
        <f t="shared" si="19"/>
        <v>449.3258384506376</v>
      </c>
      <c r="I54" s="73">
        <f t="shared" si="13"/>
        <v>942.03221272022677</v>
      </c>
      <c r="J54" s="65">
        <f t="shared" si="57"/>
        <v>9.5536136041568229E-2</v>
      </c>
      <c r="K54" s="65">
        <f t="shared" si="47"/>
        <v>0.27015159846261255</v>
      </c>
      <c r="L54" s="65">
        <f t="shared" si="47"/>
        <v>0</v>
      </c>
      <c r="M54" s="65">
        <f t="shared" si="47"/>
        <v>2.4081018595325198E-2</v>
      </c>
      <c r="N54" s="65">
        <f t="shared" si="47"/>
        <v>0.11856400566839866</v>
      </c>
      <c r="O54" s="65">
        <f t="shared" si="47"/>
        <v>0.1476000760004321</v>
      </c>
      <c r="P54" s="65">
        <f t="shared" si="47"/>
        <v>0</v>
      </c>
      <c r="Q54" s="65">
        <f t="shared" si="47"/>
        <v>2.2734558391792749E-3</v>
      </c>
      <c r="R54" s="65">
        <f t="shared" si="47"/>
        <v>0</v>
      </c>
      <c r="S54" s="65">
        <f t="shared" si="47"/>
        <v>2.9016475842156535E-3</v>
      </c>
      <c r="T54" s="77">
        <f t="shared" si="12"/>
        <v>155.8767595654227</v>
      </c>
      <c r="U54" s="77">
        <f t="shared" si="48"/>
        <v>440.77934805159862</v>
      </c>
      <c r="V54" s="77">
        <f t="shared" si="49"/>
        <v>0</v>
      </c>
      <c r="W54" s="77">
        <f t="shared" si="50"/>
        <v>39.290589940132591</v>
      </c>
      <c r="X54" s="77">
        <f t="shared" si="51"/>
        <v>193.44903164855924</v>
      </c>
      <c r="Y54" s="77">
        <f t="shared" si="52"/>
        <v>240.82428400230501</v>
      </c>
      <c r="Z54" s="77">
        <f t="shared" si="53"/>
        <v>0</v>
      </c>
      <c r="AA54" s="77">
        <f t="shared" si="54"/>
        <v>3.7093705472049048</v>
      </c>
      <c r="AB54" s="77">
        <f t="shared" si="55"/>
        <v>0</v>
      </c>
      <c r="AC54" s="77">
        <f t="shared" si="56"/>
        <v>4.73432819840626</v>
      </c>
      <c r="AD54" s="48" t="s">
        <v>117</v>
      </c>
      <c r="AE54" s="49" t="s">
        <v>35</v>
      </c>
      <c r="AF54" s="49">
        <v>18434.2</v>
      </c>
      <c r="AG54" s="48">
        <v>80</v>
      </c>
    </row>
    <row r="55" spans="1:33" ht="30" customHeight="1" thickBot="1">
      <c r="A55" s="51" t="s">
        <v>122</v>
      </c>
      <c r="B55" s="48" t="s">
        <v>35</v>
      </c>
      <c r="C55" s="48"/>
      <c r="D55" s="48">
        <v>161.9</v>
      </c>
      <c r="E55" s="48">
        <v>2</v>
      </c>
      <c r="F55" s="52">
        <f>Ownership!D821/Ownership!D822</f>
        <v>0.2753897024090694</v>
      </c>
      <c r="G55" s="52">
        <f>Ownership!E821/Ownership!E822</f>
        <v>0.57736713209133783</v>
      </c>
      <c r="H55" s="73">
        <f>F55*D55</f>
        <v>44.585592820028339</v>
      </c>
      <c r="I55" s="73">
        <f>G55*D55</f>
        <v>93.475738685587601</v>
      </c>
      <c r="J55" s="65">
        <f t="shared" si="57"/>
        <v>9.5536136041568229E-2</v>
      </c>
      <c r="K55" s="65">
        <f t="shared" si="47"/>
        <v>0.27015159846261255</v>
      </c>
      <c r="L55" s="65">
        <f t="shared" si="47"/>
        <v>0</v>
      </c>
      <c r="M55" s="65">
        <f t="shared" si="47"/>
        <v>2.4081018595325198E-2</v>
      </c>
      <c r="N55" s="65">
        <f t="shared" si="47"/>
        <v>0.11856400566839866</v>
      </c>
      <c r="O55" s="65">
        <f t="shared" si="47"/>
        <v>0.1476000760004321</v>
      </c>
      <c r="P55" s="65">
        <f t="shared" si="47"/>
        <v>0</v>
      </c>
      <c r="Q55" s="65">
        <f t="shared" si="47"/>
        <v>2.2734558391792749E-3</v>
      </c>
      <c r="R55" s="65">
        <f t="shared" si="47"/>
        <v>0</v>
      </c>
      <c r="S55" s="65">
        <f t="shared" si="47"/>
        <v>2.9016475842156535E-3</v>
      </c>
      <c r="T55" s="77">
        <f>J55*$D55</f>
        <v>15.467300425129897</v>
      </c>
      <c r="U55" s="77">
        <f t="shared" ref="U55:AC56" si="58">K55*$D55</f>
        <v>43.737543791096975</v>
      </c>
      <c r="V55" s="77">
        <f t="shared" si="58"/>
        <v>0</v>
      </c>
      <c r="W55" s="77">
        <f t="shared" si="58"/>
        <v>3.8987169105831496</v>
      </c>
      <c r="X55" s="77">
        <f t="shared" si="58"/>
        <v>19.195512517713745</v>
      </c>
      <c r="Y55" s="77">
        <f t="shared" si="58"/>
        <v>23.896452304469957</v>
      </c>
      <c r="Z55" s="77">
        <f t="shared" si="58"/>
        <v>0</v>
      </c>
      <c r="AA55" s="77">
        <f t="shared" si="58"/>
        <v>0.36807250036312461</v>
      </c>
      <c r="AB55" s="77">
        <f t="shared" si="58"/>
        <v>0</v>
      </c>
      <c r="AC55" s="77">
        <f t="shared" si="58"/>
        <v>0.46977674388451435</v>
      </c>
      <c r="AD55" s="48" t="s">
        <v>117</v>
      </c>
      <c r="AE55" s="49" t="s">
        <v>35</v>
      </c>
      <c r="AF55" s="49">
        <v>18434.2</v>
      </c>
      <c r="AG55" s="48">
        <v>80</v>
      </c>
    </row>
    <row r="56" spans="1:33" ht="15" thickBot="1">
      <c r="A56" s="51" t="s">
        <v>123</v>
      </c>
      <c r="B56" s="48" t="s">
        <v>35</v>
      </c>
      <c r="C56" s="48"/>
      <c r="D56" s="48">
        <v>32.9</v>
      </c>
      <c r="E56" s="48">
        <v>2</v>
      </c>
      <c r="F56" s="52">
        <f>Ownership!D821/Ownership!D822</f>
        <v>0.2753897024090694</v>
      </c>
      <c r="G56" s="52">
        <f>Ownership!E821/Ownership!E822</f>
        <v>0.57736713209133783</v>
      </c>
      <c r="H56" s="73">
        <f>F56*D56</f>
        <v>9.0603212092583831</v>
      </c>
      <c r="I56" s="73">
        <f>G56*D56</f>
        <v>18.995378645805015</v>
      </c>
      <c r="J56" s="65">
        <f t="shared" si="57"/>
        <v>9.5536136041568229E-2</v>
      </c>
      <c r="K56" s="65">
        <f t="shared" si="47"/>
        <v>0.27015159846261255</v>
      </c>
      <c r="L56" s="65">
        <f t="shared" si="47"/>
        <v>0</v>
      </c>
      <c r="M56" s="65">
        <f t="shared" si="47"/>
        <v>2.4081018595325198E-2</v>
      </c>
      <c r="N56" s="65">
        <f t="shared" si="47"/>
        <v>0.11856400566839866</v>
      </c>
      <c r="O56" s="65">
        <f t="shared" si="47"/>
        <v>0.1476000760004321</v>
      </c>
      <c r="P56" s="65">
        <f t="shared" si="47"/>
        <v>0</v>
      </c>
      <c r="Q56" s="65">
        <f t="shared" si="47"/>
        <v>2.2734558391792749E-3</v>
      </c>
      <c r="R56" s="65">
        <f t="shared" si="47"/>
        <v>0</v>
      </c>
      <c r="S56" s="65">
        <f t="shared" si="47"/>
        <v>2.9016475842156535E-3</v>
      </c>
      <c r="T56" s="77">
        <f>J56*$D56</f>
        <v>3.1431388757675944</v>
      </c>
      <c r="U56" s="77">
        <f t="shared" si="58"/>
        <v>8.8879875894199518</v>
      </c>
      <c r="V56" s="77">
        <f t="shared" si="58"/>
        <v>0</v>
      </c>
      <c r="W56" s="77">
        <f t="shared" si="58"/>
        <v>0.79226551178619897</v>
      </c>
      <c r="X56" s="77">
        <f t="shared" si="58"/>
        <v>3.9007557864903157</v>
      </c>
      <c r="Y56" s="77">
        <f t="shared" si="58"/>
        <v>4.8560425004142154</v>
      </c>
      <c r="Z56" s="77">
        <f t="shared" si="58"/>
        <v>0</v>
      </c>
      <c r="AA56" s="77">
        <f t="shared" si="58"/>
        <v>7.4796697108998139E-2</v>
      </c>
      <c r="AB56" s="77">
        <f t="shared" si="58"/>
        <v>0</v>
      </c>
      <c r="AC56" s="77">
        <f t="shared" si="58"/>
        <v>9.5464205520694997E-2</v>
      </c>
      <c r="AD56" s="48" t="s">
        <v>117</v>
      </c>
      <c r="AE56" s="49" t="s">
        <v>35</v>
      </c>
      <c r="AF56" s="49">
        <v>18434.2</v>
      </c>
      <c r="AG56" s="48">
        <v>80</v>
      </c>
    </row>
    <row r="57" spans="1:33" ht="15" thickBot="1">
      <c r="A57" s="51" t="s">
        <v>124</v>
      </c>
      <c r="B57" s="48" t="s">
        <v>35</v>
      </c>
      <c r="C57" s="48">
        <v>43.6</v>
      </c>
      <c r="D57" s="48"/>
      <c r="E57" s="48">
        <v>2</v>
      </c>
      <c r="F57" s="52">
        <f>Ownership!D821/Ownership!D822</f>
        <v>0.2753897024090694</v>
      </c>
      <c r="G57" s="52">
        <f>Ownership!E821/Ownership!E822</f>
        <v>0.57736713209133783</v>
      </c>
      <c r="H57" s="73">
        <f>F57*C57</f>
        <v>12.006991025035427</v>
      </c>
      <c r="I57" s="73">
        <f t="shared" si="13"/>
        <v>25.17320695918233</v>
      </c>
      <c r="J57" s="65">
        <f t="shared" si="57"/>
        <v>9.5536136041568229E-2</v>
      </c>
      <c r="K57" s="65">
        <f t="shared" si="47"/>
        <v>0.27015159846261255</v>
      </c>
      <c r="L57" s="65">
        <f t="shared" si="47"/>
        <v>0</v>
      </c>
      <c r="M57" s="65">
        <f t="shared" si="47"/>
        <v>2.4081018595325198E-2</v>
      </c>
      <c r="N57" s="65">
        <f t="shared" si="47"/>
        <v>0.11856400566839866</v>
      </c>
      <c r="O57" s="65">
        <f t="shared" si="47"/>
        <v>0.1476000760004321</v>
      </c>
      <c r="P57" s="65">
        <f t="shared" si="47"/>
        <v>0</v>
      </c>
      <c r="Q57" s="65">
        <f t="shared" si="47"/>
        <v>2.2734558391792749E-3</v>
      </c>
      <c r="R57" s="65">
        <f t="shared" si="47"/>
        <v>0</v>
      </c>
      <c r="S57" s="65">
        <f t="shared" si="47"/>
        <v>2.9016475842156535E-3</v>
      </c>
      <c r="T57" s="77">
        <f>J57*$C57</f>
        <v>4.1653755314123746</v>
      </c>
      <c r="U57" s="77">
        <f t="shared" ref="U57:AC59" si="59">K57*$C57</f>
        <v>11.778609692969908</v>
      </c>
      <c r="V57" s="77">
        <f t="shared" si="59"/>
        <v>0</v>
      </c>
      <c r="W57" s="77">
        <f t="shared" si="59"/>
        <v>1.0499324107561787</v>
      </c>
      <c r="X57" s="77">
        <f t="shared" si="59"/>
        <v>5.1693906471421815</v>
      </c>
      <c r="Y57" s="77">
        <f t="shared" si="59"/>
        <v>6.43536331361884</v>
      </c>
      <c r="Z57" s="77">
        <f t="shared" si="59"/>
        <v>0</v>
      </c>
      <c r="AA57" s="77">
        <f t="shared" si="59"/>
        <v>9.9122674588216386E-2</v>
      </c>
      <c r="AB57" s="77">
        <f t="shared" si="59"/>
        <v>0</v>
      </c>
      <c r="AC57" s="77">
        <f t="shared" si="59"/>
        <v>0.12651183467180249</v>
      </c>
      <c r="AD57" s="48" t="s">
        <v>117</v>
      </c>
      <c r="AE57" s="49" t="s">
        <v>35</v>
      </c>
      <c r="AF57" s="49">
        <v>18434.2</v>
      </c>
      <c r="AG57" s="48">
        <v>80</v>
      </c>
    </row>
    <row r="58" spans="1:33" ht="29.45" thickBot="1">
      <c r="A58" s="51" t="s">
        <v>125</v>
      </c>
      <c r="B58" s="48" t="s">
        <v>44</v>
      </c>
      <c r="C58" s="48">
        <v>474.3</v>
      </c>
      <c r="D58" s="48"/>
      <c r="E58" s="48">
        <v>5</v>
      </c>
      <c r="F58" s="52">
        <f>Ownership!D511/Ownership!D512</f>
        <v>0</v>
      </c>
      <c r="G58" s="52">
        <f>Ownership!E511</f>
        <v>0</v>
      </c>
      <c r="H58" s="73">
        <f t="shared" si="19"/>
        <v>0</v>
      </c>
      <c r="I58" s="73">
        <f t="shared" si="13"/>
        <v>0</v>
      </c>
      <c r="J58" s="65">
        <v>0</v>
      </c>
      <c r="K58" s="65">
        <v>0</v>
      </c>
      <c r="L58" s="65">
        <v>0</v>
      </c>
      <c r="M58" s="65">
        <v>0</v>
      </c>
      <c r="N58" s="65">
        <v>0</v>
      </c>
      <c r="O58" s="65">
        <v>0</v>
      </c>
      <c r="P58" s="65">
        <v>0</v>
      </c>
      <c r="Q58" s="65">
        <v>0</v>
      </c>
      <c r="R58" s="65">
        <v>0</v>
      </c>
      <c r="S58" s="65">
        <v>0</v>
      </c>
      <c r="T58" s="77">
        <f>J58*$C58</f>
        <v>0</v>
      </c>
      <c r="U58" s="77">
        <f t="shared" si="59"/>
        <v>0</v>
      </c>
      <c r="V58" s="77">
        <f t="shared" si="59"/>
        <v>0</v>
      </c>
      <c r="W58" s="77">
        <f t="shared" si="59"/>
        <v>0</v>
      </c>
      <c r="X58" s="77">
        <f t="shared" si="59"/>
        <v>0</v>
      </c>
      <c r="Y58" s="77">
        <f t="shared" si="59"/>
        <v>0</v>
      </c>
      <c r="Z58" s="77">
        <f t="shared" si="59"/>
        <v>0</v>
      </c>
      <c r="AA58" s="77">
        <f t="shared" si="59"/>
        <v>0</v>
      </c>
      <c r="AB58" s="77">
        <f t="shared" si="59"/>
        <v>0</v>
      </c>
      <c r="AC58" s="77">
        <f t="shared" si="59"/>
        <v>0</v>
      </c>
      <c r="AD58" s="48"/>
      <c r="AE58" s="48"/>
      <c r="AF58" s="48"/>
      <c r="AG58" s="48"/>
    </row>
    <row r="59" spans="1:33" ht="15" thickBot="1">
      <c r="A59" s="51" t="s">
        <v>126</v>
      </c>
      <c r="B59" s="49" t="s">
        <v>47</v>
      </c>
      <c r="C59" s="48">
        <v>60.9</v>
      </c>
      <c r="D59" s="48"/>
      <c r="E59" s="49">
        <v>2</v>
      </c>
      <c r="F59" s="59">
        <f>Ownership!D523/Ownership!D524</f>
        <v>0</v>
      </c>
      <c r="G59" s="59">
        <f>Ownership!E523</f>
        <v>0</v>
      </c>
      <c r="H59" s="73">
        <f t="shared" si="19"/>
        <v>0</v>
      </c>
      <c r="I59" s="73">
        <f t="shared" si="13"/>
        <v>0</v>
      </c>
      <c r="J59" s="65">
        <v>0</v>
      </c>
      <c r="K59" s="65">
        <v>0</v>
      </c>
      <c r="L59" s="65">
        <v>0</v>
      </c>
      <c r="M59" s="65">
        <v>0</v>
      </c>
      <c r="N59" s="65">
        <v>0</v>
      </c>
      <c r="O59" s="65">
        <v>0</v>
      </c>
      <c r="P59" s="65">
        <v>0</v>
      </c>
      <c r="Q59" s="65">
        <v>0</v>
      </c>
      <c r="R59" s="65">
        <v>0</v>
      </c>
      <c r="S59" s="65">
        <v>0</v>
      </c>
      <c r="T59" s="77">
        <f t="shared" si="12"/>
        <v>0</v>
      </c>
      <c r="U59" s="77">
        <f t="shared" si="59"/>
        <v>0</v>
      </c>
      <c r="V59" s="77">
        <f t="shared" si="59"/>
        <v>0</v>
      </c>
      <c r="W59" s="77">
        <f t="shared" si="59"/>
        <v>0</v>
      </c>
      <c r="X59" s="77">
        <f t="shared" si="59"/>
        <v>0</v>
      </c>
      <c r="Y59" s="77">
        <f t="shared" si="59"/>
        <v>0</v>
      </c>
      <c r="Z59" s="77">
        <f t="shared" si="59"/>
        <v>0</v>
      </c>
      <c r="AA59" s="77">
        <f t="shared" si="59"/>
        <v>0</v>
      </c>
      <c r="AB59" s="77">
        <f t="shared" si="59"/>
        <v>0</v>
      </c>
      <c r="AC59" s="77">
        <f t="shared" si="59"/>
        <v>0</v>
      </c>
      <c r="AD59" s="48" t="s">
        <v>127</v>
      </c>
      <c r="AE59" s="49"/>
      <c r="AF59" s="49"/>
      <c r="AG59" s="48"/>
    </row>
    <row r="60" spans="1:33" ht="29.45" thickBot="1">
      <c r="A60" s="60" t="s">
        <v>128</v>
      </c>
      <c r="B60" s="48" t="s">
        <v>35</v>
      </c>
      <c r="C60" s="48"/>
      <c r="D60" s="48">
        <v>2</v>
      </c>
      <c r="E60" s="48">
        <v>1</v>
      </c>
      <c r="F60" s="52">
        <f>Ownership!D1028</f>
        <v>0</v>
      </c>
      <c r="G60" s="52">
        <f>Ownership!E1028/Ownership!E1029</f>
        <v>0</v>
      </c>
      <c r="H60" s="73">
        <f>F60*D60</f>
        <v>0</v>
      </c>
      <c r="I60" s="73">
        <f>G60*D60</f>
        <v>0</v>
      </c>
      <c r="J60" s="65">
        <v>0</v>
      </c>
      <c r="K60" s="65">
        <v>0</v>
      </c>
      <c r="L60" s="65">
        <v>0</v>
      </c>
      <c r="M60" s="65">
        <v>0</v>
      </c>
      <c r="N60" s="65">
        <v>0</v>
      </c>
      <c r="O60" s="65">
        <v>0</v>
      </c>
      <c r="P60" s="65">
        <v>0</v>
      </c>
      <c r="Q60" s="65">
        <v>0</v>
      </c>
      <c r="R60" s="65">
        <v>0</v>
      </c>
      <c r="S60" s="65">
        <v>0</v>
      </c>
      <c r="T60" s="77">
        <f>J60*$D60</f>
        <v>0</v>
      </c>
      <c r="U60" s="77">
        <f t="shared" ref="U60:AC60" si="60">K60*$D60</f>
        <v>0</v>
      </c>
      <c r="V60" s="77">
        <f t="shared" si="60"/>
        <v>0</v>
      </c>
      <c r="W60" s="77">
        <f t="shared" si="60"/>
        <v>0</v>
      </c>
      <c r="X60" s="77">
        <f t="shared" si="60"/>
        <v>0</v>
      </c>
      <c r="Y60" s="77">
        <f t="shared" si="60"/>
        <v>0</v>
      </c>
      <c r="Z60" s="77">
        <f t="shared" si="60"/>
        <v>0</v>
      </c>
      <c r="AA60" s="77">
        <f t="shared" si="60"/>
        <v>0</v>
      </c>
      <c r="AB60" s="77">
        <f t="shared" si="60"/>
        <v>0</v>
      </c>
      <c r="AC60" s="77">
        <f t="shared" si="60"/>
        <v>0</v>
      </c>
      <c r="AD60" s="48" t="s">
        <v>129</v>
      </c>
      <c r="AE60" s="48" t="s">
        <v>35</v>
      </c>
      <c r="AF60" s="48" t="s">
        <v>62</v>
      </c>
      <c r="AG60" s="48" t="s">
        <v>62</v>
      </c>
    </row>
    <row r="61" spans="1:33" s="37" customFormat="1" ht="29.45" thickBot="1">
      <c r="A61" s="57" t="s">
        <v>130</v>
      </c>
      <c r="B61" s="43" t="s">
        <v>33</v>
      </c>
      <c r="C61" s="43"/>
      <c r="D61" s="43"/>
      <c r="E61" s="43" t="s">
        <v>62</v>
      </c>
      <c r="F61" s="44"/>
      <c r="G61" s="44"/>
      <c r="H61" s="73">
        <f t="shared" si="19"/>
        <v>0</v>
      </c>
      <c r="I61" s="73">
        <f t="shared" si="13"/>
        <v>0</v>
      </c>
      <c r="J61" s="65">
        <v>0</v>
      </c>
      <c r="K61" s="65">
        <v>0</v>
      </c>
      <c r="L61" s="65">
        <v>0</v>
      </c>
      <c r="M61" s="65">
        <v>0</v>
      </c>
      <c r="N61" s="65">
        <v>0</v>
      </c>
      <c r="O61" s="65">
        <v>0</v>
      </c>
      <c r="P61" s="65">
        <v>0</v>
      </c>
      <c r="Q61" s="65">
        <v>0</v>
      </c>
      <c r="R61" s="65">
        <v>0</v>
      </c>
      <c r="S61" s="65">
        <v>0</v>
      </c>
      <c r="T61" s="77">
        <f t="shared" si="12"/>
        <v>0</v>
      </c>
      <c r="U61" s="77">
        <f t="shared" ref="U61:U76" si="61">K61*$C61</f>
        <v>0</v>
      </c>
      <c r="V61" s="77">
        <f t="shared" ref="V61:V76" si="62">L61*$C61</f>
        <v>0</v>
      </c>
      <c r="W61" s="77">
        <f t="shared" ref="W61:W76" si="63">M61*$C61</f>
        <v>0</v>
      </c>
      <c r="X61" s="77">
        <f t="shared" ref="X61:X76" si="64">N61*$C61</f>
        <v>0</v>
      </c>
      <c r="Y61" s="77">
        <f t="shared" ref="Y61:Y76" si="65">O61*$C61</f>
        <v>0</v>
      </c>
      <c r="Z61" s="77">
        <f t="shared" ref="Z61:Z76" si="66">P61*$C61</f>
        <v>0</v>
      </c>
      <c r="AA61" s="77">
        <f t="shared" ref="AA61:AA76" si="67">Q61*$C61</f>
        <v>0</v>
      </c>
      <c r="AB61" s="77">
        <f t="shared" ref="AB61:AB76" si="68">R61*$C61</f>
        <v>0</v>
      </c>
      <c r="AC61" s="77">
        <f t="shared" ref="AC61:AC76" si="69">S61*$C61</f>
        <v>0</v>
      </c>
      <c r="AD61" s="43"/>
      <c r="AE61" s="43"/>
      <c r="AF61" s="43"/>
      <c r="AG61" s="43"/>
    </row>
    <row r="62" spans="1:33" s="37" customFormat="1" ht="29.45" thickBot="1">
      <c r="A62" s="33" t="s">
        <v>131</v>
      </c>
      <c r="B62" s="35" t="s">
        <v>44</v>
      </c>
      <c r="C62" s="35">
        <v>126.4</v>
      </c>
      <c r="D62" s="35"/>
      <c r="E62" s="35">
        <v>1</v>
      </c>
      <c r="F62" s="36"/>
      <c r="G62" s="35"/>
      <c r="H62" s="73">
        <f t="shared" si="19"/>
        <v>0</v>
      </c>
      <c r="I62" s="73">
        <f t="shared" si="13"/>
        <v>0</v>
      </c>
      <c r="J62" s="65">
        <v>0</v>
      </c>
      <c r="K62" s="65">
        <v>0</v>
      </c>
      <c r="L62" s="65">
        <v>0</v>
      </c>
      <c r="M62" s="65">
        <v>0</v>
      </c>
      <c r="N62" s="65">
        <v>0</v>
      </c>
      <c r="O62" s="65">
        <v>0</v>
      </c>
      <c r="P62" s="65">
        <v>0</v>
      </c>
      <c r="Q62" s="65">
        <v>0</v>
      </c>
      <c r="R62" s="65">
        <v>0</v>
      </c>
      <c r="S62" s="65">
        <v>0</v>
      </c>
      <c r="T62" s="77">
        <f t="shared" si="12"/>
        <v>0</v>
      </c>
      <c r="U62" s="77">
        <f t="shared" si="61"/>
        <v>0</v>
      </c>
      <c r="V62" s="77">
        <f t="shared" si="62"/>
        <v>0</v>
      </c>
      <c r="W62" s="77">
        <f t="shared" si="63"/>
        <v>0</v>
      </c>
      <c r="X62" s="77">
        <f t="shared" si="64"/>
        <v>0</v>
      </c>
      <c r="Y62" s="77">
        <f t="shared" si="65"/>
        <v>0</v>
      </c>
      <c r="Z62" s="77">
        <f t="shared" si="66"/>
        <v>0</v>
      </c>
      <c r="AA62" s="77">
        <f t="shared" si="67"/>
        <v>0</v>
      </c>
      <c r="AB62" s="77">
        <f t="shared" si="68"/>
        <v>0</v>
      </c>
      <c r="AC62" s="77">
        <f t="shared" si="69"/>
        <v>0</v>
      </c>
      <c r="AD62" s="35"/>
      <c r="AE62" s="35"/>
      <c r="AF62" s="35"/>
      <c r="AG62" s="35"/>
    </row>
    <row r="63" spans="1:33" ht="29.45" thickBot="1">
      <c r="A63" s="61" t="s">
        <v>132</v>
      </c>
      <c r="B63" s="46" t="s">
        <v>33</v>
      </c>
      <c r="C63" s="46"/>
      <c r="D63" s="46">
        <v>55</v>
      </c>
      <c r="E63" s="46">
        <v>4</v>
      </c>
      <c r="F63" s="47">
        <f>Ownership!D594/Ownership!D595</f>
        <v>0.25968370387348155</v>
      </c>
      <c r="G63" s="47">
        <f>Ownership!E594/Ownership!E595</f>
        <v>0.4490146021008814</v>
      </c>
      <c r="H63" s="73">
        <f>F63*D63</f>
        <v>14.282603713041485</v>
      </c>
      <c r="I63" s="73">
        <f>G63*D63</f>
        <v>24.695803115548475</v>
      </c>
      <c r="J63" s="65">
        <f>Ownership!D589/Ownership!D595</f>
        <v>0.14852165940866377</v>
      </c>
      <c r="K63" s="65">
        <f>Ownership!E589/Ownership!E595</f>
        <v>0.35688152460242606</v>
      </c>
      <c r="L63" s="65">
        <f>Ownership!D590/Ownership!D595</f>
        <v>0</v>
      </c>
      <c r="M63" s="65">
        <f>Ownership!E590/Ownership!E595</f>
        <v>0</v>
      </c>
      <c r="N63" s="65">
        <f>Ownership!D591/Ownership!D595</f>
        <v>7.6323630529452222E-2</v>
      </c>
      <c r="O63" s="65">
        <f>Ownership!E591/Ownership!E595</f>
        <v>2.5643110345051873E-2</v>
      </c>
      <c r="P63" s="65">
        <f>Ownership!D592/Ownership!D595</f>
        <v>0</v>
      </c>
      <c r="Q63" s="65">
        <f>Ownership!E592/Ownership!E595</f>
        <v>3.2521382809197049E-3</v>
      </c>
      <c r="R63" s="65">
        <f>Ownership!D593/Ownership!D595</f>
        <v>3.4838413935365575E-2</v>
      </c>
      <c r="S63" s="65">
        <f>Ownership!E593/Ownership!E595</f>
        <v>5.2196819408761259E-2</v>
      </c>
      <c r="T63" s="77">
        <f>J63*$D63</f>
        <v>8.1686912674765075</v>
      </c>
      <c r="U63" s="77">
        <f t="shared" ref="U63:AC63" si="70">K63*$D63</f>
        <v>19.628483853133432</v>
      </c>
      <c r="V63" s="77">
        <f t="shared" si="70"/>
        <v>0</v>
      </c>
      <c r="W63" s="77">
        <f t="shared" si="70"/>
        <v>0</v>
      </c>
      <c r="X63" s="77">
        <f t="shared" si="70"/>
        <v>4.1977996791198722</v>
      </c>
      <c r="Y63" s="77">
        <f t="shared" si="70"/>
        <v>1.410371068977853</v>
      </c>
      <c r="Z63" s="77">
        <f t="shared" si="70"/>
        <v>0</v>
      </c>
      <c r="AA63" s="77">
        <f t="shared" si="70"/>
        <v>0.17886760545058378</v>
      </c>
      <c r="AB63" s="77">
        <f t="shared" si="70"/>
        <v>1.9161127664451065</v>
      </c>
      <c r="AC63" s="77">
        <f t="shared" si="70"/>
        <v>2.8708250674818694</v>
      </c>
      <c r="AD63" s="48" t="s">
        <v>85</v>
      </c>
      <c r="AE63" s="48" t="s">
        <v>47</v>
      </c>
      <c r="AF63" s="48">
        <v>16515.2</v>
      </c>
      <c r="AG63" s="48">
        <v>47</v>
      </c>
    </row>
    <row r="64" spans="1:33" ht="30.75">
      <c r="A64" s="60" t="s">
        <v>133</v>
      </c>
      <c r="B64" s="48" t="s">
        <v>39</v>
      </c>
      <c r="C64" s="48">
        <v>69.400000000000006</v>
      </c>
      <c r="D64" s="48"/>
      <c r="E64" s="48">
        <v>3</v>
      </c>
      <c r="F64" s="52">
        <f>Ownership!D594/Ownership!D595</f>
        <v>0.25968370387348155</v>
      </c>
      <c r="G64" s="52">
        <f>Ownership!E594/Ownership!E595</f>
        <v>0.4490146021008814</v>
      </c>
      <c r="H64" s="73">
        <f t="shared" si="19"/>
        <v>18.022049048819621</v>
      </c>
      <c r="I64" s="73">
        <f t="shared" si="13"/>
        <v>31.161613385801171</v>
      </c>
      <c r="J64" s="65">
        <f>J$63</f>
        <v>0.14852165940866377</v>
      </c>
      <c r="K64" s="65">
        <f t="shared" ref="K64:S65" si="71">K$63</f>
        <v>0.35688152460242606</v>
      </c>
      <c r="L64" s="65">
        <f t="shared" si="71"/>
        <v>0</v>
      </c>
      <c r="M64" s="65">
        <f t="shared" si="71"/>
        <v>0</v>
      </c>
      <c r="N64" s="65">
        <f t="shared" si="71"/>
        <v>7.6323630529452222E-2</v>
      </c>
      <c r="O64" s="65">
        <f t="shared" si="71"/>
        <v>2.5643110345051873E-2</v>
      </c>
      <c r="P64" s="65">
        <f t="shared" si="71"/>
        <v>0</v>
      </c>
      <c r="Q64" s="65">
        <f t="shared" si="71"/>
        <v>3.2521382809197049E-3</v>
      </c>
      <c r="R64" s="65">
        <f t="shared" si="71"/>
        <v>3.4838413935365575E-2</v>
      </c>
      <c r="S64" s="65">
        <f t="shared" si="71"/>
        <v>5.2196819408761259E-2</v>
      </c>
      <c r="T64" s="77">
        <f t="shared" si="12"/>
        <v>10.307403162961267</v>
      </c>
      <c r="U64" s="77">
        <f t="shared" ref="U64:U76" si="72">K64*$C64</f>
        <v>24.767577807408369</v>
      </c>
      <c r="V64" s="77">
        <f t="shared" ref="V64:V76" si="73">L64*$C64</f>
        <v>0</v>
      </c>
      <c r="W64" s="77">
        <f t="shared" ref="W64:W76" si="74">M64*$C64</f>
        <v>0</v>
      </c>
      <c r="X64" s="77">
        <f t="shared" ref="X64:X76" si="75">N64*$C64</f>
        <v>5.2968599587439842</v>
      </c>
      <c r="Y64" s="77">
        <f t="shared" ref="Y64:Y76" si="76">O64*$C64</f>
        <v>1.7796318579466002</v>
      </c>
      <c r="Z64" s="77">
        <f t="shared" ref="Z64:Z76" si="77">P64*$C64</f>
        <v>0</v>
      </c>
      <c r="AA64" s="77">
        <f t="shared" ref="AA64:AA76" si="78">Q64*$C64</f>
        <v>0.22569839669582753</v>
      </c>
      <c r="AB64" s="77">
        <f t="shared" ref="AB64:AB76" si="79">R64*$C64</f>
        <v>2.4177859271143709</v>
      </c>
      <c r="AC64" s="77">
        <f t="shared" ref="AC64:AC76" si="80">S64*$C64</f>
        <v>3.6224592669680318</v>
      </c>
      <c r="AD64" s="48" t="s">
        <v>85</v>
      </c>
      <c r="AE64" s="48" t="s">
        <v>47</v>
      </c>
      <c r="AF64" s="48">
        <v>16515.2</v>
      </c>
      <c r="AG64" s="48">
        <v>47</v>
      </c>
    </row>
    <row r="65" spans="1:33" ht="15" thickBot="1">
      <c r="A65" s="60" t="s">
        <v>134</v>
      </c>
      <c r="B65" s="48" t="s">
        <v>47</v>
      </c>
      <c r="C65" s="48">
        <v>341.2</v>
      </c>
      <c r="D65" s="48"/>
      <c r="E65" s="48">
        <v>2</v>
      </c>
      <c r="F65" s="52">
        <f>Ownership!D594/Ownership!D595</f>
        <v>0.25968370387348155</v>
      </c>
      <c r="G65" s="52">
        <f>Ownership!E594/Ownership!E595</f>
        <v>0.4490146021008814</v>
      </c>
      <c r="H65" s="73">
        <f t="shared" si="19"/>
        <v>88.604079761631908</v>
      </c>
      <c r="I65" s="73">
        <f t="shared" si="13"/>
        <v>153.20378223682073</v>
      </c>
      <c r="J65" s="65">
        <f>J$63</f>
        <v>0.14852165940866377</v>
      </c>
      <c r="K65" s="65">
        <f t="shared" si="71"/>
        <v>0.35688152460242606</v>
      </c>
      <c r="L65" s="65">
        <f t="shared" si="71"/>
        <v>0</v>
      </c>
      <c r="M65" s="65">
        <f t="shared" si="71"/>
        <v>0</v>
      </c>
      <c r="N65" s="65">
        <f t="shared" si="71"/>
        <v>7.6323630529452222E-2</v>
      </c>
      <c r="O65" s="65">
        <f t="shared" si="71"/>
        <v>2.5643110345051873E-2</v>
      </c>
      <c r="P65" s="65">
        <f t="shared" si="71"/>
        <v>0</v>
      </c>
      <c r="Q65" s="65">
        <f t="shared" si="71"/>
        <v>3.2521382809197049E-3</v>
      </c>
      <c r="R65" s="65">
        <f t="shared" si="71"/>
        <v>3.4838413935365575E-2</v>
      </c>
      <c r="S65" s="65">
        <f t="shared" si="71"/>
        <v>5.2196819408761259E-2</v>
      </c>
      <c r="T65" s="77">
        <f t="shared" si="12"/>
        <v>50.675590190236079</v>
      </c>
      <c r="U65" s="77">
        <f t="shared" si="72"/>
        <v>121.76797619434777</v>
      </c>
      <c r="V65" s="77">
        <f t="shared" si="73"/>
        <v>0</v>
      </c>
      <c r="W65" s="77">
        <f t="shared" si="74"/>
        <v>0</v>
      </c>
      <c r="X65" s="77">
        <f t="shared" si="75"/>
        <v>26.041622736649096</v>
      </c>
      <c r="Y65" s="77">
        <f t="shared" si="76"/>
        <v>8.7494292497316994</v>
      </c>
      <c r="Z65" s="77">
        <f t="shared" si="77"/>
        <v>0</v>
      </c>
      <c r="AA65" s="77">
        <f t="shared" si="78"/>
        <v>1.1096295814498034</v>
      </c>
      <c r="AB65" s="77">
        <f>R65*$C65</f>
        <v>11.886866834746733</v>
      </c>
      <c r="AC65" s="77">
        <f t="shared" si="80"/>
        <v>17.809554782269341</v>
      </c>
      <c r="AD65" s="48" t="s">
        <v>85</v>
      </c>
      <c r="AE65" s="48" t="s">
        <v>47</v>
      </c>
      <c r="AF65" s="48">
        <v>16515.2</v>
      </c>
      <c r="AG65" s="48">
        <v>47</v>
      </c>
    </row>
    <row r="66" spans="1:33" ht="29.45" thickBot="1">
      <c r="A66" s="60" t="s">
        <v>135</v>
      </c>
      <c r="B66" s="48" t="s">
        <v>136</v>
      </c>
      <c r="C66" s="48">
        <v>331.9</v>
      </c>
      <c r="D66" s="48"/>
      <c r="E66" s="48">
        <v>3</v>
      </c>
      <c r="F66" s="52">
        <f>Ownership!D604</f>
        <v>0</v>
      </c>
      <c r="G66" s="52">
        <f>Ownership!E604/Ownership!E605</f>
        <v>0</v>
      </c>
      <c r="H66" s="73">
        <f t="shared" si="19"/>
        <v>0</v>
      </c>
      <c r="I66" s="73">
        <f t="shared" si="13"/>
        <v>0</v>
      </c>
      <c r="J66" s="65">
        <v>0</v>
      </c>
      <c r="K66" s="65">
        <v>0</v>
      </c>
      <c r="L66" s="65">
        <v>0</v>
      </c>
      <c r="M66" s="65">
        <v>0</v>
      </c>
      <c r="N66" s="65">
        <v>0</v>
      </c>
      <c r="O66" s="65">
        <v>0</v>
      </c>
      <c r="P66" s="65">
        <v>0</v>
      </c>
      <c r="Q66" s="65">
        <v>0</v>
      </c>
      <c r="R66" s="65">
        <v>0</v>
      </c>
      <c r="S66" s="65">
        <v>0</v>
      </c>
      <c r="T66" s="77">
        <f t="shared" si="12"/>
        <v>0</v>
      </c>
      <c r="U66" s="77">
        <f t="shared" si="72"/>
        <v>0</v>
      </c>
      <c r="V66" s="77">
        <f t="shared" si="73"/>
        <v>0</v>
      </c>
      <c r="W66" s="77">
        <f t="shared" si="74"/>
        <v>0</v>
      </c>
      <c r="X66" s="77">
        <f t="shared" si="75"/>
        <v>0</v>
      </c>
      <c r="Y66" s="77">
        <f t="shared" si="76"/>
        <v>0</v>
      </c>
      <c r="Z66" s="77">
        <f t="shared" si="77"/>
        <v>0</v>
      </c>
      <c r="AA66" s="77">
        <f t="shared" si="78"/>
        <v>0</v>
      </c>
      <c r="AB66" s="77">
        <f>R66*$C66</f>
        <v>0</v>
      </c>
      <c r="AC66" s="77">
        <f t="shared" si="80"/>
        <v>0</v>
      </c>
      <c r="AD66" s="48" t="s">
        <v>137</v>
      </c>
      <c r="AE66" s="48" t="s">
        <v>136</v>
      </c>
      <c r="AF66" s="48" t="s">
        <v>62</v>
      </c>
      <c r="AG66" s="48">
        <v>5</v>
      </c>
    </row>
    <row r="67" spans="1:33" ht="29.45" thickBot="1">
      <c r="A67" s="60" t="s">
        <v>138</v>
      </c>
      <c r="B67" s="49" t="s">
        <v>39</v>
      </c>
      <c r="C67" s="48">
        <v>368.7</v>
      </c>
      <c r="D67" s="48"/>
      <c r="E67" s="49">
        <v>2</v>
      </c>
      <c r="F67" s="59">
        <f>Ownership!D84/Ownership!D85</f>
        <v>9.275452841973765E-2</v>
      </c>
      <c r="G67" s="59">
        <f>Ownership!E84/Ownership!E85</f>
        <v>0.13841121319240027</v>
      </c>
      <c r="H67" s="73">
        <f t="shared" si="19"/>
        <v>34.19859462835727</v>
      </c>
      <c r="I67" s="73">
        <f t="shared" si="13"/>
        <v>51.032214304037979</v>
      </c>
      <c r="J67" s="65">
        <f>Ownership!D79/Ownership!D85</f>
        <v>9.275452841973765E-2</v>
      </c>
      <c r="K67" s="65">
        <f>Ownership!E79/Ownership!E85</f>
        <v>0.13841121319240027</v>
      </c>
      <c r="L67" s="65">
        <v>0</v>
      </c>
      <c r="M67" s="65">
        <v>0</v>
      </c>
      <c r="N67" s="65">
        <v>0</v>
      </c>
      <c r="O67" s="65">
        <v>0</v>
      </c>
      <c r="P67" s="65">
        <v>0</v>
      </c>
      <c r="Q67" s="65">
        <v>0</v>
      </c>
      <c r="R67" s="65">
        <v>0</v>
      </c>
      <c r="S67" s="65">
        <v>0</v>
      </c>
      <c r="T67" s="77">
        <f t="shared" si="12"/>
        <v>34.19859462835727</v>
      </c>
      <c r="U67" s="77">
        <f t="shared" si="72"/>
        <v>51.032214304037979</v>
      </c>
      <c r="V67" s="77">
        <f t="shared" si="73"/>
        <v>0</v>
      </c>
      <c r="W67" s="77">
        <f t="shared" si="74"/>
        <v>0</v>
      </c>
      <c r="X67" s="77">
        <f t="shared" si="75"/>
        <v>0</v>
      </c>
      <c r="Y67" s="77">
        <f t="shared" si="76"/>
        <v>0</v>
      </c>
      <c r="Z67" s="77">
        <f t="shared" si="77"/>
        <v>0</v>
      </c>
      <c r="AA67" s="77">
        <f t="shared" si="78"/>
        <v>0</v>
      </c>
      <c r="AB67" s="77">
        <f>R67*$C67</f>
        <v>0</v>
      </c>
      <c r="AC67" s="77">
        <f t="shared" si="80"/>
        <v>0</v>
      </c>
      <c r="AD67" s="50" t="s">
        <v>40</v>
      </c>
      <c r="AE67" s="48" t="s">
        <v>41</v>
      </c>
      <c r="AF67" s="46">
        <v>63178.9</v>
      </c>
      <c r="AG67" s="46">
        <v>12</v>
      </c>
    </row>
    <row r="68" spans="1:33" ht="29.45" thickBot="1">
      <c r="A68" s="60" t="s">
        <v>139</v>
      </c>
      <c r="B68" s="49" t="s">
        <v>33</v>
      </c>
      <c r="C68" s="48">
        <v>139.6</v>
      </c>
      <c r="D68" s="48"/>
      <c r="E68" s="49">
        <v>2</v>
      </c>
      <c r="F68" s="59">
        <f>Ownership!D177/Ownership!D178</f>
        <v>0</v>
      </c>
      <c r="G68" s="59">
        <f>Ownership!E177/Ownership!E178</f>
        <v>0.20733636189017982</v>
      </c>
      <c r="H68" s="73">
        <f t="shared" si="19"/>
        <v>0</v>
      </c>
      <c r="I68" s="73">
        <f>G68*C68</f>
        <v>28.944156119869103</v>
      </c>
      <c r="J68" s="65">
        <v>0</v>
      </c>
      <c r="K68" s="65">
        <f>Ownership!E172/Ownership!E178</f>
        <v>0.13822424126011984</v>
      </c>
      <c r="L68" s="65">
        <v>0</v>
      </c>
      <c r="M68" s="65">
        <f>Ownership!E173/Ownership!E178</f>
        <v>2.6836089393587104E-2</v>
      </c>
      <c r="N68" s="65">
        <v>0</v>
      </c>
      <c r="O68" s="65">
        <f>Ownership!E174/Ownership!E178</f>
        <v>1.164122599265194E-2</v>
      </c>
      <c r="P68" s="65">
        <v>0</v>
      </c>
      <c r="Q68" s="65">
        <f>Ownership!E175/Ownership!E178</f>
        <v>3.1860197453573726E-3</v>
      </c>
      <c r="R68" s="65">
        <v>0</v>
      </c>
      <c r="S68" s="65">
        <f>Ownership!E176/Ownership!E178</f>
        <v>1.9361196914094807E-2</v>
      </c>
      <c r="T68" s="77">
        <f t="shared" si="12"/>
        <v>0</v>
      </c>
      <c r="U68" s="77">
        <f t="shared" si="72"/>
        <v>19.29610407991273</v>
      </c>
      <c r="V68" s="77">
        <f t="shared" si="73"/>
        <v>0</v>
      </c>
      <c r="W68" s="77">
        <f t="shared" si="74"/>
        <v>3.7463180793447597</v>
      </c>
      <c r="X68" s="77">
        <f t="shared" si="75"/>
        <v>0</v>
      </c>
      <c r="Y68" s="77">
        <f t="shared" si="76"/>
        <v>1.6251151485742108</v>
      </c>
      <c r="Z68" s="77">
        <f t="shared" si="77"/>
        <v>0</v>
      </c>
      <c r="AA68" s="77">
        <f t="shared" si="78"/>
        <v>0.44476835645188922</v>
      </c>
      <c r="AB68" s="77">
        <f>R68*$C68</f>
        <v>0</v>
      </c>
      <c r="AC68" s="77">
        <f t="shared" si="80"/>
        <v>2.702823089207635</v>
      </c>
      <c r="AD68" s="50" t="s">
        <v>48</v>
      </c>
      <c r="AE68" s="49" t="s">
        <v>35</v>
      </c>
      <c r="AF68" s="49">
        <v>20679.599999999999</v>
      </c>
      <c r="AG68" s="48">
        <v>57</v>
      </c>
    </row>
    <row r="69" spans="1:33" ht="29.45" thickBot="1">
      <c r="A69" s="61" t="s">
        <v>140</v>
      </c>
      <c r="B69" s="46" t="s">
        <v>39</v>
      </c>
      <c r="C69" s="46"/>
      <c r="D69" s="46"/>
      <c r="E69" s="46">
        <v>1</v>
      </c>
      <c r="F69" s="47">
        <f>Ownership!D177/Ownership!D178</f>
        <v>0</v>
      </c>
      <c r="G69" s="47">
        <f>Ownership!E177/Ownership!E178</f>
        <v>0.20733636189017982</v>
      </c>
      <c r="H69" s="73">
        <f t="shared" si="19"/>
        <v>0</v>
      </c>
      <c r="I69" s="73">
        <f t="shared" si="13"/>
        <v>0</v>
      </c>
      <c r="J69" s="65">
        <f>J$68</f>
        <v>0</v>
      </c>
      <c r="K69" s="65">
        <f t="shared" ref="K69:S74" si="81">K$68</f>
        <v>0.13822424126011984</v>
      </c>
      <c r="L69" s="65">
        <f t="shared" si="81"/>
        <v>0</v>
      </c>
      <c r="M69" s="65">
        <f t="shared" si="81"/>
        <v>2.6836089393587104E-2</v>
      </c>
      <c r="N69" s="65">
        <f t="shared" si="81"/>
        <v>0</v>
      </c>
      <c r="O69" s="65">
        <f t="shared" si="81"/>
        <v>1.164122599265194E-2</v>
      </c>
      <c r="P69" s="65">
        <f t="shared" si="81"/>
        <v>0</v>
      </c>
      <c r="Q69" s="65">
        <f t="shared" si="81"/>
        <v>3.1860197453573726E-3</v>
      </c>
      <c r="R69" s="65">
        <f t="shared" si="81"/>
        <v>0</v>
      </c>
      <c r="S69" s="65">
        <f t="shared" si="81"/>
        <v>1.9361196914094807E-2</v>
      </c>
      <c r="T69" s="77">
        <f>J69*$C69</f>
        <v>0</v>
      </c>
      <c r="U69" s="77">
        <f t="shared" si="72"/>
        <v>0</v>
      </c>
      <c r="V69" s="77">
        <f t="shared" si="73"/>
        <v>0</v>
      </c>
      <c r="W69" s="77">
        <f t="shared" si="74"/>
        <v>0</v>
      </c>
      <c r="X69" s="77">
        <f t="shared" si="75"/>
        <v>0</v>
      </c>
      <c r="Y69" s="77">
        <f t="shared" si="76"/>
        <v>0</v>
      </c>
      <c r="Z69" s="77">
        <f t="shared" si="77"/>
        <v>0</v>
      </c>
      <c r="AA69" s="77">
        <f t="shared" si="78"/>
        <v>0</v>
      </c>
      <c r="AB69" s="77">
        <f t="shared" si="79"/>
        <v>0</v>
      </c>
      <c r="AC69" s="77">
        <f t="shared" si="80"/>
        <v>0</v>
      </c>
      <c r="AD69" s="48" t="s">
        <v>48</v>
      </c>
      <c r="AE69" s="49" t="s">
        <v>35</v>
      </c>
      <c r="AF69" s="49">
        <v>20679.599999999999</v>
      </c>
      <c r="AG69" s="48">
        <v>57</v>
      </c>
    </row>
    <row r="70" spans="1:33" ht="29.45" thickBot="1">
      <c r="A70" s="60" t="s">
        <v>141</v>
      </c>
      <c r="B70" s="48" t="s">
        <v>44</v>
      </c>
      <c r="C70" s="48">
        <v>108.6</v>
      </c>
      <c r="D70" s="48"/>
      <c r="E70" s="48">
        <v>2</v>
      </c>
      <c r="F70" s="52">
        <f>Ownership!D177/Ownership!D178</f>
        <v>0</v>
      </c>
      <c r="G70" s="52">
        <f>Ownership!E177/Ownership!E178</f>
        <v>0.20733636189017982</v>
      </c>
      <c r="H70" s="73">
        <f t="shared" si="19"/>
        <v>0</v>
      </c>
      <c r="I70" s="73">
        <f t="shared" si="13"/>
        <v>22.516728901273527</v>
      </c>
      <c r="J70" s="65">
        <f t="shared" ref="J70:J74" si="82">J$68</f>
        <v>0</v>
      </c>
      <c r="K70" s="65">
        <f t="shared" si="81"/>
        <v>0.13822424126011984</v>
      </c>
      <c r="L70" s="65">
        <f t="shared" si="81"/>
        <v>0</v>
      </c>
      <c r="M70" s="65">
        <f t="shared" si="81"/>
        <v>2.6836089393587104E-2</v>
      </c>
      <c r="N70" s="65">
        <f t="shared" si="81"/>
        <v>0</v>
      </c>
      <c r="O70" s="65">
        <f t="shared" si="81"/>
        <v>1.164122599265194E-2</v>
      </c>
      <c r="P70" s="65">
        <f t="shared" si="81"/>
        <v>0</v>
      </c>
      <c r="Q70" s="65">
        <f t="shared" si="81"/>
        <v>3.1860197453573726E-3</v>
      </c>
      <c r="R70" s="65">
        <f t="shared" si="81"/>
        <v>0</v>
      </c>
      <c r="S70" s="65">
        <f t="shared" si="81"/>
        <v>1.9361196914094807E-2</v>
      </c>
      <c r="T70" s="77">
        <f t="shared" si="12"/>
        <v>0</v>
      </c>
      <c r="U70" s="77">
        <f t="shared" si="72"/>
        <v>15.011152600849014</v>
      </c>
      <c r="V70" s="77">
        <f t="shared" si="73"/>
        <v>0</v>
      </c>
      <c r="W70" s="77">
        <f t="shared" si="74"/>
        <v>2.9143993081435595</v>
      </c>
      <c r="X70" s="77">
        <f t="shared" si="75"/>
        <v>0</v>
      </c>
      <c r="Y70" s="77">
        <f t="shared" si="76"/>
        <v>1.2642371428020005</v>
      </c>
      <c r="Z70" s="77">
        <f t="shared" si="77"/>
        <v>0</v>
      </c>
      <c r="AA70" s="77">
        <f t="shared" si="78"/>
        <v>0.34600174434581066</v>
      </c>
      <c r="AB70" s="77">
        <f t="shared" si="79"/>
        <v>0</v>
      </c>
      <c r="AC70" s="77">
        <f t="shared" si="80"/>
        <v>2.1026259848706959</v>
      </c>
      <c r="AD70" s="48" t="s">
        <v>48</v>
      </c>
      <c r="AE70" s="48" t="s">
        <v>35</v>
      </c>
      <c r="AF70" s="48">
        <v>20679.599999999999</v>
      </c>
      <c r="AG70" s="48">
        <v>57</v>
      </c>
    </row>
    <row r="71" spans="1:33" ht="29.25" customHeight="1" thickBot="1">
      <c r="A71" s="60" t="s">
        <v>142</v>
      </c>
      <c r="B71" s="49" t="s">
        <v>35</v>
      </c>
      <c r="C71" s="48">
        <v>1853.1</v>
      </c>
      <c r="D71" s="48"/>
      <c r="E71" s="49">
        <v>2</v>
      </c>
      <c r="F71" s="59">
        <f>Ownership!D177/Ownership!D178</f>
        <v>0</v>
      </c>
      <c r="G71" s="59">
        <f>Ownership!E177/Ownership!E178</f>
        <v>0.20733636189017982</v>
      </c>
      <c r="H71" s="73">
        <f t="shared" si="19"/>
        <v>0</v>
      </c>
      <c r="I71" s="73">
        <f t="shared" si="13"/>
        <v>384.21501221869221</v>
      </c>
      <c r="J71" s="65">
        <f t="shared" si="82"/>
        <v>0</v>
      </c>
      <c r="K71" s="65">
        <f t="shared" si="81"/>
        <v>0.13822424126011984</v>
      </c>
      <c r="L71" s="65">
        <f t="shared" si="81"/>
        <v>0</v>
      </c>
      <c r="M71" s="65">
        <f t="shared" si="81"/>
        <v>2.6836089393587104E-2</v>
      </c>
      <c r="N71" s="65">
        <f t="shared" si="81"/>
        <v>0</v>
      </c>
      <c r="O71" s="65">
        <f t="shared" si="81"/>
        <v>1.164122599265194E-2</v>
      </c>
      <c r="P71" s="65">
        <f t="shared" si="81"/>
        <v>0</v>
      </c>
      <c r="Q71" s="65">
        <f t="shared" si="81"/>
        <v>3.1860197453573726E-3</v>
      </c>
      <c r="R71" s="65">
        <f t="shared" si="81"/>
        <v>0</v>
      </c>
      <c r="S71" s="65">
        <f t="shared" si="81"/>
        <v>1.9361196914094807E-2</v>
      </c>
      <c r="T71" s="77">
        <f t="shared" si="12"/>
        <v>0</v>
      </c>
      <c r="U71" s="77">
        <f t="shared" si="72"/>
        <v>256.14334147912808</v>
      </c>
      <c r="V71" s="77">
        <f t="shared" si="73"/>
        <v>0</v>
      </c>
      <c r="W71" s="77">
        <f t="shared" si="74"/>
        <v>49.729957255256259</v>
      </c>
      <c r="X71" s="77">
        <f t="shared" si="75"/>
        <v>0</v>
      </c>
      <c r="Y71" s="77">
        <f t="shared" si="76"/>
        <v>21.57235588698331</v>
      </c>
      <c r="Z71" s="77">
        <f t="shared" si="77"/>
        <v>0</v>
      </c>
      <c r="AA71" s="77">
        <f t="shared" si="78"/>
        <v>5.9040131901217467</v>
      </c>
      <c r="AB71" s="77">
        <f t="shared" si="79"/>
        <v>0</v>
      </c>
      <c r="AC71" s="77">
        <f t="shared" si="80"/>
        <v>35.878234001509085</v>
      </c>
      <c r="AD71" s="48" t="s">
        <v>48</v>
      </c>
      <c r="AE71" s="49" t="s">
        <v>35</v>
      </c>
      <c r="AF71" s="49">
        <v>20679.599999999999</v>
      </c>
      <c r="AG71" s="48">
        <v>57</v>
      </c>
    </row>
    <row r="72" spans="1:33" ht="29.45" thickBot="1">
      <c r="A72" s="60" t="s">
        <v>143</v>
      </c>
      <c r="B72" s="48" t="s">
        <v>47</v>
      </c>
      <c r="C72" s="48">
        <v>896.3</v>
      </c>
      <c r="D72" s="48"/>
      <c r="E72" s="48">
        <v>2</v>
      </c>
      <c r="F72" s="52">
        <f>Ownership!D177/Ownership!D178</f>
        <v>0</v>
      </c>
      <c r="G72" s="52">
        <f>Ownership!E177/Ownership!E178</f>
        <v>0.20733636189017982</v>
      </c>
      <c r="H72" s="73">
        <f t="shared" si="19"/>
        <v>0</v>
      </c>
      <c r="I72" s="73">
        <f t="shared" si="13"/>
        <v>185.83558116216815</v>
      </c>
      <c r="J72" s="65">
        <f t="shared" si="82"/>
        <v>0</v>
      </c>
      <c r="K72" s="65">
        <f t="shared" si="81"/>
        <v>0.13822424126011984</v>
      </c>
      <c r="L72" s="65">
        <f t="shared" si="81"/>
        <v>0</v>
      </c>
      <c r="M72" s="65">
        <f t="shared" si="81"/>
        <v>2.6836089393587104E-2</v>
      </c>
      <c r="N72" s="65">
        <f t="shared" si="81"/>
        <v>0</v>
      </c>
      <c r="O72" s="65">
        <f t="shared" si="81"/>
        <v>1.164122599265194E-2</v>
      </c>
      <c r="P72" s="65">
        <f t="shared" si="81"/>
        <v>0</v>
      </c>
      <c r="Q72" s="65">
        <f t="shared" si="81"/>
        <v>3.1860197453573726E-3</v>
      </c>
      <c r="R72" s="65">
        <f t="shared" si="81"/>
        <v>0</v>
      </c>
      <c r="S72" s="65">
        <f t="shared" si="81"/>
        <v>1.9361196914094807E-2</v>
      </c>
      <c r="T72" s="77">
        <f t="shared" si="12"/>
        <v>0</v>
      </c>
      <c r="U72" s="77">
        <f t="shared" si="72"/>
        <v>123.89038744144541</v>
      </c>
      <c r="V72" s="77">
        <f t="shared" si="73"/>
        <v>0</v>
      </c>
      <c r="W72" s="77">
        <f t="shared" si="74"/>
        <v>24.053186923472122</v>
      </c>
      <c r="X72" s="77">
        <f t="shared" si="75"/>
        <v>0</v>
      </c>
      <c r="Y72" s="77">
        <f t="shared" si="76"/>
        <v>10.434030857213934</v>
      </c>
      <c r="Z72" s="77">
        <f t="shared" si="77"/>
        <v>0</v>
      </c>
      <c r="AA72" s="77">
        <f t="shared" si="78"/>
        <v>2.8556294977638128</v>
      </c>
      <c r="AB72" s="77">
        <f t="shared" si="79"/>
        <v>0</v>
      </c>
      <c r="AC72" s="77">
        <f t="shared" si="80"/>
        <v>17.353440794103175</v>
      </c>
      <c r="AD72" s="48" t="s">
        <v>48</v>
      </c>
      <c r="AE72" s="48" t="s">
        <v>35</v>
      </c>
      <c r="AF72" s="48">
        <v>20679.599999999999</v>
      </c>
      <c r="AG72" s="48">
        <v>57</v>
      </c>
    </row>
    <row r="73" spans="1:33" ht="29.45" thickBot="1">
      <c r="A73" s="61" t="s">
        <v>144</v>
      </c>
      <c r="B73" s="46" t="s">
        <v>113</v>
      </c>
      <c r="C73" s="46"/>
      <c r="D73" s="46"/>
      <c r="E73" s="46">
        <v>1</v>
      </c>
      <c r="F73" s="47">
        <f>Ownership!D177/Ownership!D178</f>
        <v>0</v>
      </c>
      <c r="G73" s="47">
        <f>Ownership!E177/Ownership!E178</f>
        <v>0.20733636189017982</v>
      </c>
      <c r="H73" s="73">
        <f t="shared" si="19"/>
        <v>0</v>
      </c>
      <c r="I73" s="73">
        <f>G73*C73</f>
        <v>0</v>
      </c>
      <c r="J73" s="65">
        <f t="shared" si="82"/>
        <v>0</v>
      </c>
      <c r="K73" s="65">
        <f t="shared" si="81"/>
        <v>0.13822424126011984</v>
      </c>
      <c r="L73" s="65">
        <f t="shared" si="81"/>
        <v>0</v>
      </c>
      <c r="M73" s="65">
        <f t="shared" si="81"/>
        <v>2.6836089393587104E-2</v>
      </c>
      <c r="N73" s="65">
        <f t="shared" si="81"/>
        <v>0</v>
      </c>
      <c r="O73" s="65">
        <f t="shared" si="81"/>
        <v>1.164122599265194E-2</v>
      </c>
      <c r="P73" s="65">
        <f t="shared" si="81"/>
        <v>0</v>
      </c>
      <c r="Q73" s="65">
        <f t="shared" si="81"/>
        <v>3.1860197453573726E-3</v>
      </c>
      <c r="R73" s="65">
        <f t="shared" si="81"/>
        <v>0</v>
      </c>
      <c r="S73" s="65">
        <f t="shared" si="81"/>
        <v>1.9361196914094807E-2</v>
      </c>
      <c r="T73" s="77">
        <f t="shared" si="12"/>
        <v>0</v>
      </c>
      <c r="U73" s="77">
        <f t="shared" si="72"/>
        <v>0</v>
      </c>
      <c r="V73" s="77">
        <f t="shared" si="73"/>
        <v>0</v>
      </c>
      <c r="W73" s="77">
        <f t="shared" si="74"/>
        <v>0</v>
      </c>
      <c r="X73" s="77">
        <f t="shared" si="75"/>
        <v>0</v>
      </c>
      <c r="Y73" s="77">
        <f t="shared" si="76"/>
        <v>0</v>
      </c>
      <c r="Z73" s="77">
        <f t="shared" si="77"/>
        <v>0</v>
      </c>
      <c r="AA73" s="77">
        <f t="shared" si="78"/>
        <v>0</v>
      </c>
      <c r="AB73" s="77">
        <f t="shared" si="79"/>
        <v>0</v>
      </c>
      <c r="AC73" s="77">
        <f t="shared" si="80"/>
        <v>0</v>
      </c>
      <c r="AD73" s="48" t="s">
        <v>48</v>
      </c>
      <c r="AE73" s="49" t="s">
        <v>35</v>
      </c>
      <c r="AF73" s="49">
        <v>20679.599999999999</v>
      </c>
      <c r="AG73" s="48">
        <v>57</v>
      </c>
    </row>
    <row r="74" spans="1:33" ht="15" thickBot="1">
      <c r="A74" s="61" t="s">
        <v>145</v>
      </c>
      <c r="B74" s="46" t="s">
        <v>95</v>
      </c>
      <c r="C74" s="46">
        <v>0.8</v>
      </c>
      <c r="D74" s="46"/>
      <c r="E74" s="46">
        <v>1</v>
      </c>
      <c r="F74" s="47">
        <f>Ownership!D177/Ownership!D178</f>
        <v>0</v>
      </c>
      <c r="G74" s="47">
        <f>Ownership!E177/Ownership!E178</f>
        <v>0.20733636189017982</v>
      </c>
      <c r="H74" s="73">
        <f t="shared" si="19"/>
        <v>0</v>
      </c>
      <c r="I74" s="73">
        <f t="shared" si="13"/>
        <v>0.16586908951214385</v>
      </c>
      <c r="J74" s="65">
        <f t="shared" si="82"/>
        <v>0</v>
      </c>
      <c r="K74" s="65">
        <f t="shared" si="81"/>
        <v>0.13822424126011984</v>
      </c>
      <c r="L74" s="65">
        <f t="shared" si="81"/>
        <v>0</v>
      </c>
      <c r="M74" s="65">
        <f t="shared" si="81"/>
        <v>2.6836089393587104E-2</v>
      </c>
      <c r="N74" s="65">
        <f t="shared" si="81"/>
        <v>0</v>
      </c>
      <c r="O74" s="65">
        <f t="shared" si="81"/>
        <v>1.164122599265194E-2</v>
      </c>
      <c r="P74" s="65">
        <f t="shared" si="81"/>
        <v>0</v>
      </c>
      <c r="Q74" s="65">
        <f t="shared" si="81"/>
        <v>3.1860197453573726E-3</v>
      </c>
      <c r="R74" s="65">
        <f t="shared" si="81"/>
        <v>0</v>
      </c>
      <c r="S74" s="65">
        <f t="shared" si="81"/>
        <v>1.9361196914094807E-2</v>
      </c>
      <c r="T74" s="77">
        <f t="shared" si="12"/>
        <v>0</v>
      </c>
      <c r="U74" s="77">
        <f t="shared" si="72"/>
        <v>0.11057939300809588</v>
      </c>
      <c r="V74" s="77">
        <f t="shared" si="73"/>
        <v>0</v>
      </c>
      <c r="W74" s="77">
        <f t="shared" si="74"/>
        <v>2.1468871514869686E-2</v>
      </c>
      <c r="X74" s="77">
        <f t="shared" si="75"/>
        <v>0</v>
      </c>
      <c r="Y74" s="77">
        <f t="shared" si="76"/>
        <v>9.3129807941215517E-3</v>
      </c>
      <c r="Z74" s="77">
        <f t="shared" si="77"/>
        <v>0</v>
      </c>
      <c r="AA74" s="77">
        <f t="shared" si="78"/>
        <v>2.5488157962858982E-3</v>
      </c>
      <c r="AB74" s="77">
        <f t="shared" si="79"/>
        <v>0</v>
      </c>
      <c r="AC74" s="77">
        <f t="shared" si="80"/>
        <v>1.5488957531275847E-2</v>
      </c>
      <c r="AD74" s="48" t="s">
        <v>48</v>
      </c>
      <c r="AE74" s="49" t="s">
        <v>35</v>
      </c>
      <c r="AF74" s="49">
        <v>20679.599999999999</v>
      </c>
      <c r="AG74" s="48">
        <v>57</v>
      </c>
    </row>
    <row r="75" spans="1:33" s="37" customFormat="1" ht="72.599999999999994" thickBot="1">
      <c r="A75" s="33" t="s">
        <v>146</v>
      </c>
      <c r="B75" s="35" t="s">
        <v>41</v>
      </c>
      <c r="C75" s="35"/>
      <c r="D75" s="35"/>
      <c r="E75" s="35">
        <v>1</v>
      </c>
      <c r="F75" s="36"/>
      <c r="G75" s="35"/>
      <c r="H75" s="73">
        <f t="shared" si="19"/>
        <v>0</v>
      </c>
      <c r="I75" s="73">
        <f t="shared" si="13"/>
        <v>0</v>
      </c>
      <c r="J75" s="65">
        <v>0</v>
      </c>
      <c r="K75" s="65">
        <v>0</v>
      </c>
      <c r="L75" s="65">
        <v>0</v>
      </c>
      <c r="M75" s="65">
        <v>0</v>
      </c>
      <c r="N75" s="65">
        <v>0</v>
      </c>
      <c r="O75" s="65">
        <v>0</v>
      </c>
      <c r="P75" s="65">
        <v>0</v>
      </c>
      <c r="Q75" s="65">
        <v>0</v>
      </c>
      <c r="R75" s="65">
        <v>0</v>
      </c>
      <c r="S75" s="65">
        <v>0</v>
      </c>
      <c r="T75" s="77">
        <f>J75*$C75</f>
        <v>0</v>
      </c>
      <c r="U75" s="77">
        <f t="shared" si="72"/>
        <v>0</v>
      </c>
      <c r="V75" s="77">
        <f t="shared" si="73"/>
        <v>0</v>
      </c>
      <c r="W75" s="77">
        <f t="shared" si="74"/>
        <v>0</v>
      </c>
      <c r="X75" s="77">
        <f t="shared" si="75"/>
        <v>0</v>
      </c>
      <c r="Y75" s="77">
        <f t="shared" si="76"/>
        <v>0</v>
      </c>
      <c r="Z75" s="77">
        <f t="shared" si="77"/>
        <v>0</v>
      </c>
      <c r="AA75" s="77">
        <f t="shared" si="78"/>
        <v>0</v>
      </c>
      <c r="AB75" s="77">
        <f t="shared" si="79"/>
        <v>0</v>
      </c>
      <c r="AC75" s="77">
        <f t="shared" si="80"/>
        <v>0</v>
      </c>
      <c r="AD75" s="35" t="s">
        <v>147</v>
      </c>
      <c r="AE75" s="35" t="s">
        <v>41</v>
      </c>
      <c r="AF75" s="35" t="s">
        <v>148</v>
      </c>
      <c r="AG75" s="35" t="s">
        <v>63</v>
      </c>
    </row>
    <row r="76" spans="1:33" ht="29.45" thickBot="1">
      <c r="A76" s="60" t="s">
        <v>149</v>
      </c>
      <c r="B76" s="49" t="s">
        <v>65</v>
      </c>
      <c r="C76" s="48">
        <v>135.80000000000001</v>
      </c>
      <c r="D76" s="48"/>
      <c r="E76" s="49">
        <v>11</v>
      </c>
      <c r="F76" s="59">
        <f>Ownership!D638/Ownership!D639</f>
        <v>0.20004846722403974</v>
      </c>
      <c r="G76" s="59">
        <f>Ownership!E638/Ownership!E639</f>
        <v>0.54234495372821923</v>
      </c>
      <c r="H76" s="73">
        <f t="shared" si="19"/>
        <v>27.166581849024599</v>
      </c>
      <c r="I76" s="73">
        <f>G76*C76</f>
        <v>73.650444716292171</v>
      </c>
      <c r="J76" s="65">
        <v>0</v>
      </c>
      <c r="K76" s="65">
        <v>0</v>
      </c>
      <c r="L76" s="65">
        <v>0</v>
      </c>
      <c r="M76" s="65">
        <v>0</v>
      </c>
      <c r="N76" s="65">
        <v>0</v>
      </c>
      <c r="O76" s="65">
        <v>0</v>
      </c>
      <c r="P76" s="65">
        <f>Ownership!D636/Ownership!D639</f>
        <v>0.20004846722403974</v>
      </c>
      <c r="Q76" s="65">
        <f>Ownership!E636/Ownership!E639</f>
        <v>0.54234495372821923</v>
      </c>
      <c r="R76" s="65">
        <v>0</v>
      </c>
      <c r="S76" s="65">
        <v>0</v>
      </c>
      <c r="T76" s="77">
        <f t="shared" si="12"/>
        <v>0</v>
      </c>
      <c r="U76" s="77">
        <f t="shared" si="72"/>
        <v>0</v>
      </c>
      <c r="V76" s="77">
        <f t="shared" si="73"/>
        <v>0</v>
      </c>
      <c r="W76" s="77">
        <f t="shared" si="74"/>
        <v>0</v>
      </c>
      <c r="X76" s="77">
        <f t="shared" si="75"/>
        <v>0</v>
      </c>
      <c r="Y76" s="77">
        <f t="shared" si="76"/>
        <v>0</v>
      </c>
      <c r="Z76" s="77">
        <f t="shared" si="77"/>
        <v>27.166581849024599</v>
      </c>
      <c r="AA76" s="77">
        <f t="shared" si="78"/>
        <v>73.650444716292171</v>
      </c>
      <c r="AB76" s="77">
        <f t="shared" si="79"/>
        <v>0</v>
      </c>
      <c r="AC76" s="77">
        <f t="shared" si="80"/>
        <v>0</v>
      </c>
      <c r="AD76" s="48"/>
      <c r="AE76" s="49"/>
      <c r="AF76" s="49"/>
      <c r="AG76" s="48"/>
    </row>
    <row r="77" spans="1:33" s="105" customFormat="1" ht="15" thickBot="1">
      <c r="A77" s="98" t="s">
        <v>150</v>
      </c>
      <c r="B77" s="99"/>
      <c r="C77" s="100">
        <f>SUM(C2:C76)</f>
        <v>27972.3</v>
      </c>
      <c r="D77" s="100">
        <f>SUM(D2:D76)</f>
        <v>13301.699999999999</v>
      </c>
      <c r="E77" s="99"/>
      <c r="F77" s="101"/>
      <c r="G77" s="101"/>
      <c r="H77" s="102">
        <f>SUM(H2:H76)</f>
        <v>3410.7607541402181</v>
      </c>
      <c r="I77" s="102">
        <f>SUM(I2:I76)</f>
        <v>11220.276739861732</v>
      </c>
      <c r="J77" s="103"/>
      <c r="K77" s="103"/>
      <c r="L77" s="103"/>
      <c r="M77" s="103"/>
      <c r="N77" s="103"/>
      <c r="O77" s="103"/>
      <c r="P77" s="103"/>
      <c r="Q77" s="103"/>
      <c r="R77" s="103"/>
      <c r="S77" s="103"/>
      <c r="T77" s="104">
        <f>SUM(T2:T76)</f>
        <v>2424.7543954712819</v>
      </c>
      <c r="U77" s="104">
        <f t="shared" ref="U77:AC77" si="83">SUM(U2:U76)</f>
        <v>6781.1112271187549</v>
      </c>
      <c r="V77" s="104">
        <f t="shared" si="83"/>
        <v>590.12911475255032</v>
      </c>
      <c r="W77" s="104">
        <f t="shared" si="83"/>
        <v>850.32057525366008</v>
      </c>
      <c r="X77" s="104">
        <f t="shared" si="83"/>
        <v>841.93992840562146</v>
      </c>
      <c r="Y77" s="104">
        <f t="shared" si="83"/>
        <v>1121.3314249427995</v>
      </c>
      <c r="Z77" s="104">
        <f t="shared" si="83"/>
        <v>27.166581849024599</v>
      </c>
      <c r="AA77" s="104">
        <f t="shared" si="83"/>
        <v>433.46229353730723</v>
      </c>
      <c r="AB77" s="104">
        <f t="shared" si="83"/>
        <v>151.41712302482159</v>
      </c>
      <c r="AC77" s="104">
        <f t="shared" si="83"/>
        <v>625.70176055426577</v>
      </c>
      <c r="AD77" s="100"/>
      <c r="AE77" s="99"/>
      <c r="AF77" s="99"/>
      <c r="AG77" s="100"/>
    </row>
    <row r="78" spans="1:33" ht="15" thickBot="1">
      <c r="A78" s="90"/>
      <c r="B78" s="80"/>
      <c r="C78" s="87"/>
      <c r="D78" s="87"/>
      <c r="E78" s="80"/>
      <c r="F78" s="88"/>
      <c r="G78" s="88"/>
      <c r="H78" s="89"/>
      <c r="I78" s="89"/>
      <c r="J78" s="67"/>
      <c r="K78" s="67"/>
      <c r="L78" s="67"/>
      <c r="M78" s="67"/>
      <c r="N78" s="67"/>
      <c r="O78" s="67"/>
      <c r="P78" s="67"/>
      <c r="Q78" s="67"/>
      <c r="R78" s="67"/>
      <c r="S78" s="67"/>
      <c r="T78" s="78"/>
      <c r="U78" s="78"/>
      <c r="V78" s="78"/>
      <c r="W78" s="78"/>
      <c r="X78" s="78"/>
      <c r="Y78" s="78"/>
      <c r="Z78" s="78"/>
      <c r="AA78" s="78"/>
      <c r="AB78" s="78"/>
      <c r="AC78" s="78"/>
      <c r="AD78" s="87"/>
      <c r="AE78" s="80"/>
      <c r="AF78" s="80"/>
      <c r="AG78" s="87"/>
    </row>
    <row r="79" spans="1:33" s="80" customFormat="1" ht="15" thickBot="1">
      <c r="A79" s="90"/>
      <c r="B79" s="91" t="s">
        <v>151</v>
      </c>
      <c r="C79" s="92" t="s">
        <v>152</v>
      </c>
      <c r="D79" s="87"/>
      <c r="F79" s="88"/>
      <c r="G79" s="88"/>
      <c r="H79" s="89"/>
      <c r="I79" s="89"/>
      <c r="J79" s="67"/>
      <c r="K79" s="67"/>
      <c r="L79" s="67"/>
      <c r="M79" s="67"/>
      <c r="N79" s="67"/>
      <c r="O79" s="67"/>
      <c r="P79" s="67"/>
      <c r="Q79" s="67"/>
      <c r="R79" s="67"/>
      <c r="S79" s="67"/>
      <c r="T79" s="78"/>
      <c r="U79" s="78"/>
      <c r="V79" s="78"/>
      <c r="W79" s="78"/>
      <c r="X79" s="78"/>
      <c r="Y79" s="78"/>
      <c r="Z79" s="78"/>
      <c r="AA79" s="78"/>
      <c r="AB79" s="78"/>
      <c r="AC79" s="78"/>
      <c r="AD79" s="87"/>
      <c r="AG79" s="87"/>
    </row>
    <row r="80" spans="1:33">
      <c r="A80" s="82" t="s">
        <v>153</v>
      </c>
      <c r="B80" s="106">
        <f>C77+D77</f>
        <v>41274</v>
      </c>
      <c r="C80" s="107"/>
    </row>
    <row r="81" spans="1:4">
      <c r="A81" s="83" t="s">
        <v>154</v>
      </c>
      <c r="B81" s="81">
        <f>H77</f>
        <v>3410.7607541402181</v>
      </c>
      <c r="C81" s="40">
        <f>I77</f>
        <v>11220.276739861732</v>
      </c>
    </row>
    <row r="82" spans="1:4" ht="15" thickBot="1">
      <c r="A82" s="84" t="s">
        <v>155</v>
      </c>
      <c r="B82" s="85">
        <f>B81/B80</f>
        <v>8.263702946504381E-2</v>
      </c>
      <c r="C82" s="86">
        <f>C81/B80</f>
        <v>0.27184854242045192</v>
      </c>
      <c r="D82" s="41"/>
    </row>
    <row r="83" spans="1:4" ht="15" thickBot="1"/>
    <row r="84" spans="1:4">
      <c r="A84" s="82" t="s">
        <v>156</v>
      </c>
      <c r="B84" s="93">
        <f>T77/$B$80</f>
        <v>5.8747744232962203E-2</v>
      </c>
      <c r="C84" s="94">
        <f>U77/$B$80</f>
        <v>0.16429498539319559</v>
      </c>
    </row>
    <row r="85" spans="1:4">
      <c r="A85" s="83" t="s">
        <v>61</v>
      </c>
      <c r="B85" s="95">
        <f>V77/$B$80</f>
        <v>1.4297841613426135E-2</v>
      </c>
      <c r="C85" s="96">
        <f>W77/$B$80</f>
        <v>2.0601845599012941E-2</v>
      </c>
    </row>
    <row r="86" spans="1:4">
      <c r="A86" s="83" t="s">
        <v>157</v>
      </c>
      <c r="B86" s="95">
        <f>X77/$B$80</f>
        <v>2.0398796540330996E-2</v>
      </c>
      <c r="C86" s="96">
        <f>Y77/$B$80</f>
        <v>2.7167985292019175E-2</v>
      </c>
    </row>
    <row r="87" spans="1:4">
      <c r="A87" s="83" t="s">
        <v>67</v>
      </c>
      <c r="B87" s="95">
        <f>Z77/$B$80</f>
        <v>6.5820084917925573E-4</v>
      </c>
      <c r="C87" s="96">
        <f>AA77/$B$80</f>
        <v>1.050206651977776E-2</v>
      </c>
    </row>
    <row r="88" spans="1:4" ht="15" thickBot="1">
      <c r="A88" s="84" t="s">
        <v>158</v>
      </c>
      <c r="B88" s="97">
        <f>AB77/$B$80</f>
        <v>3.6685836852454715E-3</v>
      </c>
      <c r="C88" s="58">
        <f>AC77/$B$80</f>
        <v>1.5159707335229582E-2</v>
      </c>
    </row>
    <row r="90" spans="1:4">
      <c r="B90" s="39">
        <f>B82-SUM(B84:B88)</f>
        <v>-1.5134137456100261E-2</v>
      </c>
      <c r="C90" s="39">
        <f>C82-SUM(C84:C88)</f>
        <v>3.4121952281216894E-2</v>
      </c>
    </row>
  </sheetData>
  <autoFilter ref="A1:AG76" xr:uid="{564356AB-CAAB-4A49-8FB7-75238DA010D6}">
    <sortState xmlns:xlrd2="http://schemas.microsoft.com/office/spreadsheetml/2017/richdata2" ref="A2:AG76">
      <sortCondition ref="A1:A76"/>
    </sortState>
  </autoFilter>
  <sortState xmlns:xlrd2="http://schemas.microsoft.com/office/spreadsheetml/2017/richdata2" ref="A2:AG77">
    <sortCondition ref="A2:A77"/>
  </sortState>
  <mergeCells count="1">
    <mergeCell ref="B80:C8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61B5A-0779-4BFE-8F2B-AB25B75666C1}">
  <dimension ref="A1:F1029"/>
  <sheetViews>
    <sheetView topLeftCell="A215" zoomScaleNormal="100" workbookViewId="0">
      <selection activeCell="D27" sqref="D27"/>
    </sheetView>
  </sheetViews>
  <sheetFormatPr defaultRowHeight="14.45"/>
  <cols>
    <col min="1" max="1" width="25" bestFit="1" customWidth="1"/>
    <col min="3" max="3" width="9.7109375" bestFit="1" customWidth="1"/>
    <col min="4" max="4" width="14.85546875" style="1" bestFit="1" customWidth="1"/>
    <col min="5" max="5" width="16.28515625" style="1" bestFit="1" customWidth="1"/>
  </cols>
  <sheetData>
    <row r="1" spans="1:5" s="4" customFormat="1">
      <c r="A1" s="4" t="s">
        <v>159</v>
      </c>
      <c r="B1" s="4" t="s">
        <v>1</v>
      </c>
      <c r="C1" s="4" t="s">
        <v>160</v>
      </c>
      <c r="D1" s="5" t="s">
        <v>161</v>
      </c>
      <c r="E1" s="5" t="s">
        <v>162</v>
      </c>
    </row>
    <row r="2" spans="1:5">
      <c r="A2" t="s">
        <v>163</v>
      </c>
    </row>
    <row r="3" spans="1:5">
      <c r="A3" t="s">
        <v>164</v>
      </c>
      <c r="B3" t="s">
        <v>35</v>
      </c>
      <c r="C3" t="s">
        <v>165</v>
      </c>
      <c r="E3" s="1">
        <v>0.5</v>
      </c>
    </row>
    <row r="4" spans="1:5">
      <c r="A4" t="s">
        <v>117</v>
      </c>
      <c r="B4" t="s">
        <v>35</v>
      </c>
      <c r="C4" t="s">
        <v>165</v>
      </c>
      <c r="D4" s="1">
        <v>0.5</v>
      </c>
    </row>
    <row r="5" spans="1:5">
      <c r="A5" s="29" t="s">
        <v>166</v>
      </c>
      <c r="B5" s="29" t="s">
        <v>35</v>
      </c>
      <c r="C5" s="29" t="s">
        <v>167</v>
      </c>
      <c r="D5" s="30"/>
      <c r="E5" s="30">
        <f>D4*17.76%</f>
        <v>8.8800000000000004E-2</v>
      </c>
    </row>
    <row r="6" spans="1:5">
      <c r="A6" s="29" t="s">
        <v>168</v>
      </c>
      <c r="B6" s="29" t="s">
        <v>62</v>
      </c>
      <c r="C6" s="29" t="s">
        <v>169</v>
      </c>
      <c r="D6" s="30"/>
      <c r="E6" s="30">
        <f>D4*10.29%</f>
        <v>5.1449999999999996E-2</v>
      </c>
    </row>
    <row r="7" spans="1:5">
      <c r="A7" s="29" t="s">
        <v>170</v>
      </c>
      <c r="B7" s="29" t="s">
        <v>35</v>
      </c>
      <c r="C7" s="29" t="s">
        <v>171</v>
      </c>
      <c r="D7" s="30"/>
      <c r="E7" s="30">
        <f>D4*8.98%</f>
        <v>4.4900000000000002E-2</v>
      </c>
    </row>
    <row r="8" spans="1:5">
      <c r="A8" s="29" t="s">
        <v>172</v>
      </c>
      <c r="B8" s="29" t="s">
        <v>62</v>
      </c>
      <c r="C8" s="29" t="s">
        <v>173</v>
      </c>
      <c r="D8" s="30"/>
      <c r="E8" s="30">
        <f>D4*8%</f>
        <v>0.04</v>
      </c>
    </row>
    <row r="9" spans="1:5">
      <c r="A9" s="29" t="s">
        <v>174</v>
      </c>
      <c r="B9" s="29" t="s">
        <v>175</v>
      </c>
      <c r="C9" s="29" t="s">
        <v>176</v>
      </c>
      <c r="D9" s="30"/>
      <c r="E9" s="30">
        <f>D4*6.25%</f>
        <v>3.125E-2</v>
      </c>
    </row>
    <row r="10" spans="1:5">
      <c r="A10" s="29" t="s">
        <v>177</v>
      </c>
      <c r="B10" s="29" t="s">
        <v>62</v>
      </c>
      <c r="C10" s="29" t="s">
        <v>176</v>
      </c>
      <c r="D10" s="30"/>
      <c r="E10" s="30">
        <f>D4*5.73%</f>
        <v>2.8650000000000002E-2</v>
      </c>
    </row>
    <row r="11" spans="1:5">
      <c r="A11" s="29" t="s">
        <v>178</v>
      </c>
      <c r="B11" s="29" t="s">
        <v>157</v>
      </c>
      <c r="C11" s="29" t="s">
        <v>176</v>
      </c>
      <c r="D11" s="30"/>
      <c r="E11" s="30">
        <f>D4*4.79%</f>
        <v>2.3949999999999999E-2</v>
      </c>
    </row>
    <row r="12" spans="1:5">
      <c r="A12" s="29" t="s">
        <v>179</v>
      </c>
      <c r="B12" s="29" t="s">
        <v>157</v>
      </c>
      <c r="C12" s="29" t="s">
        <v>180</v>
      </c>
      <c r="D12" s="30"/>
      <c r="E12" s="30">
        <f>D4*3.16%</f>
        <v>1.5800000000000002E-2</v>
      </c>
    </row>
    <row r="13" spans="1:5">
      <c r="A13" s="29" t="s">
        <v>181</v>
      </c>
      <c r="B13" s="29" t="s">
        <v>35</v>
      </c>
      <c r="C13" s="29" t="s">
        <v>182</v>
      </c>
      <c r="D13" s="30"/>
      <c r="E13" s="30">
        <f>D4*2.75%</f>
        <v>1.375E-2</v>
      </c>
    </row>
    <row r="14" spans="1:5">
      <c r="A14" s="29" t="s">
        <v>183</v>
      </c>
      <c r="B14" s="29" t="s">
        <v>62</v>
      </c>
      <c r="C14" s="29" t="s">
        <v>176</v>
      </c>
      <c r="D14" s="30"/>
      <c r="E14" s="30">
        <f>D4*1.99%</f>
        <v>9.9500000000000005E-3</v>
      </c>
    </row>
    <row r="15" spans="1:5">
      <c r="A15" s="29" t="s">
        <v>184</v>
      </c>
      <c r="B15" s="29" t="s">
        <v>156</v>
      </c>
      <c r="C15" s="29" t="s">
        <v>165</v>
      </c>
      <c r="D15" s="30"/>
      <c r="E15" s="30">
        <f>D4*1.96%</f>
        <v>9.7999999999999997E-3</v>
      </c>
    </row>
    <row r="16" spans="1:5">
      <c r="A16" s="29" t="s">
        <v>185</v>
      </c>
      <c r="B16" s="29" t="s">
        <v>157</v>
      </c>
      <c r="C16" s="29" t="s">
        <v>171</v>
      </c>
      <c r="D16" s="30"/>
      <c r="E16" s="30">
        <f>D4*1.94%</f>
        <v>9.7000000000000003E-3</v>
      </c>
    </row>
    <row r="17" spans="1:5">
      <c r="A17" s="29" t="s">
        <v>186</v>
      </c>
      <c r="B17" s="29" t="s">
        <v>156</v>
      </c>
      <c r="C17" s="29" t="s">
        <v>165</v>
      </c>
      <c r="D17" s="30"/>
      <c r="E17" s="30">
        <f>D4*1.61%</f>
        <v>8.0499999999999999E-3</v>
      </c>
    </row>
    <row r="18" spans="1:5">
      <c r="A18" s="29" t="s">
        <v>187</v>
      </c>
      <c r="B18" s="29" t="s">
        <v>156</v>
      </c>
      <c r="C18" s="29" t="s">
        <v>171</v>
      </c>
      <c r="D18" s="30"/>
      <c r="E18" s="30">
        <f>D4*1.06%</f>
        <v>5.3E-3</v>
      </c>
    </row>
    <row r="19" spans="1:5">
      <c r="A19" s="29" t="s">
        <v>188</v>
      </c>
      <c r="B19" s="29" t="s">
        <v>156</v>
      </c>
      <c r="C19" s="29" t="s">
        <v>165</v>
      </c>
      <c r="D19" s="30"/>
      <c r="E19" s="30">
        <f>D4*1.06%</f>
        <v>5.3E-3</v>
      </c>
    </row>
    <row r="20" spans="1:5">
      <c r="A20" s="29" t="s">
        <v>189</v>
      </c>
      <c r="B20" s="29" t="s">
        <v>35</v>
      </c>
      <c r="C20" s="29" t="s">
        <v>165</v>
      </c>
      <c r="D20" s="30"/>
      <c r="E20" s="30">
        <f>D4*0.99%</f>
        <v>4.9499999999999995E-3</v>
      </c>
    </row>
    <row r="21" spans="1:5">
      <c r="A21" s="29" t="s">
        <v>190</v>
      </c>
      <c r="B21" s="29" t="s">
        <v>156</v>
      </c>
      <c r="C21" s="29" t="s">
        <v>191</v>
      </c>
      <c r="D21" s="30"/>
      <c r="E21" s="30">
        <f>D4*0.97%</f>
        <v>4.8500000000000001E-3</v>
      </c>
    </row>
    <row r="22" spans="1:5">
      <c r="A22" s="29" t="s">
        <v>192</v>
      </c>
      <c r="B22" s="29" t="s">
        <v>156</v>
      </c>
      <c r="C22" s="29" t="s">
        <v>193</v>
      </c>
      <c r="D22" s="30"/>
      <c r="E22" s="30">
        <f>D4*0.97%</f>
        <v>4.8500000000000001E-3</v>
      </c>
    </row>
    <row r="23" spans="1:5">
      <c r="A23" s="29" t="s">
        <v>194</v>
      </c>
      <c r="B23" s="29" t="s">
        <v>35</v>
      </c>
      <c r="C23" s="29" t="s">
        <v>165</v>
      </c>
      <c r="D23" s="30"/>
      <c r="E23" s="30">
        <f>D4*0.8%</f>
        <v>4.0000000000000001E-3</v>
      </c>
    </row>
    <row r="24" spans="1:5">
      <c r="A24" s="29" t="s">
        <v>195</v>
      </c>
      <c r="B24" s="29" t="s">
        <v>35</v>
      </c>
      <c r="C24" s="29" t="s">
        <v>176</v>
      </c>
      <c r="D24" s="30"/>
      <c r="E24" s="30">
        <f>D4*0.75%</f>
        <v>3.7499999999999999E-3</v>
      </c>
    </row>
    <row r="25" spans="1:5">
      <c r="A25" s="29" t="s">
        <v>196</v>
      </c>
      <c r="B25" s="29" t="s">
        <v>35</v>
      </c>
      <c r="C25" s="29" t="s">
        <v>165</v>
      </c>
      <c r="D25" s="30"/>
      <c r="E25" s="30">
        <f>D4*0.7%</f>
        <v>3.4999999999999996E-3</v>
      </c>
    </row>
    <row r="26" spans="1:5">
      <c r="A26" s="29" t="s">
        <v>197</v>
      </c>
      <c r="B26" s="29" t="s">
        <v>62</v>
      </c>
      <c r="C26" s="29" t="s">
        <v>198</v>
      </c>
      <c r="D26" s="30"/>
      <c r="E26" s="30">
        <f>D4*0.63%</f>
        <v>3.15E-3</v>
      </c>
    </row>
    <row r="27" spans="1:5">
      <c r="A27" s="29" t="s">
        <v>199</v>
      </c>
      <c r="B27" s="29" t="s">
        <v>156</v>
      </c>
      <c r="C27" s="29" t="s">
        <v>171</v>
      </c>
      <c r="D27" s="30"/>
      <c r="E27" s="30">
        <f>D4*0.46%</f>
        <v>2.3E-3</v>
      </c>
    </row>
    <row r="28" spans="1:5">
      <c r="A28" s="29" t="s">
        <v>200</v>
      </c>
      <c r="B28" s="29" t="s">
        <v>35</v>
      </c>
      <c r="C28" s="29" t="s">
        <v>180</v>
      </c>
      <c r="D28" s="30"/>
      <c r="E28" s="30">
        <f>D4*0.3%</f>
        <v>1.5E-3</v>
      </c>
    </row>
    <row r="29" spans="1:5">
      <c r="A29" s="29" t="s">
        <v>201</v>
      </c>
      <c r="B29" s="29" t="s">
        <v>62</v>
      </c>
      <c r="C29" s="29" t="s">
        <v>169</v>
      </c>
      <c r="D29" s="30"/>
      <c r="E29" s="30">
        <f>D4*0.27%</f>
        <v>1.3500000000000001E-3</v>
      </c>
    </row>
    <row r="30" spans="1:5">
      <c r="A30" s="29" t="s">
        <v>202</v>
      </c>
      <c r="B30" s="29" t="s">
        <v>203</v>
      </c>
      <c r="C30" s="29" t="s">
        <v>176</v>
      </c>
      <c r="D30" s="30"/>
      <c r="E30" s="30">
        <f>D4*0.26%</f>
        <v>1.2999999999999999E-3</v>
      </c>
    </row>
    <row r="31" spans="1:5">
      <c r="A31" s="29" t="s">
        <v>204</v>
      </c>
      <c r="B31" s="29" t="s">
        <v>157</v>
      </c>
      <c r="C31" s="29" t="s">
        <v>165</v>
      </c>
      <c r="D31" s="30"/>
      <c r="E31" s="30">
        <f>D4*0.15%</f>
        <v>7.5000000000000002E-4</v>
      </c>
    </row>
    <row r="32" spans="1:5">
      <c r="A32" s="29" t="s">
        <v>205</v>
      </c>
      <c r="B32" s="29" t="s">
        <v>157</v>
      </c>
      <c r="C32" s="29" t="s">
        <v>171</v>
      </c>
      <c r="D32" s="30"/>
      <c r="E32" s="30">
        <f>D4*0.1%</f>
        <v>5.0000000000000001E-4</v>
      </c>
    </row>
    <row r="33" spans="1:5">
      <c r="A33" s="69" t="s">
        <v>156</v>
      </c>
      <c r="B33" s="69"/>
      <c r="C33" s="69"/>
      <c r="D33" s="70">
        <v>0</v>
      </c>
      <c r="E33" s="70">
        <f>SUM(E15,E17:E19,E21:E22,E27)</f>
        <v>4.045E-2</v>
      </c>
    </row>
    <row r="34" spans="1:5">
      <c r="A34" s="69" t="s">
        <v>206</v>
      </c>
      <c r="B34" s="69"/>
      <c r="C34" s="69"/>
      <c r="D34" s="70">
        <v>0</v>
      </c>
      <c r="E34" s="70">
        <v>0</v>
      </c>
    </row>
    <row r="35" spans="1:5">
      <c r="A35" s="69" t="s">
        <v>157</v>
      </c>
      <c r="B35" s="69"/>
      <c r="C35" s="69"/>
      <c r="D35" s="70">
        <v>0</v>
      </c>
      <c r="E35" s="70">
        <f>SUM(E11:E12,E16,E31:E32)</f>
        <v>5.0700000000000002E-2</v>
      </c>
    </row>
    <row r="36" spans="1:5">
      <c r="A36" s="69" t="s">
        <v>207</v>
      </c>
      <c r="B36" s="69"/>
      <c r="C36" s="69"/>
      <c r="D36" s="70">
        <v>0</v>
      </c>
      <c r="E36" s="70">
        <v>0</v>
      </c>
    </row>
    <row r="37" spans="1:5">
      <c r="A37" s="69" t="s">
        <v>208</v>
      </c>
      <c r="B37" s="69"/>
      <c r="C37" s="69"/>
      <c r="D37" s="70">
        <v>0</v>
      </c>
      <c r="E37" s="70">
        <v>0</v>
      </c>
    </row>
    <row r="38" spans="1:5">
      <c r="A38" t="s">
        <v>209</v>
      </c>
      <c r="D38" s="1">
        <v>0</v>
      </c>
      <c r="E38" s="1">
        <f>SUM(E9,E11:E12,E15:E19,E21:E22,E27,E31:E32)</f>
        <v>0.12240000000000001</v>
      </c>
    </row>
    <row r="39" spans="1:5">
      <c r="A39" t="s">
        <v>150</v>
      </c>
      <c r="D39" s="1">
        <f>SUM(D3:D32)</f>
        <v>0.5</v>
      </c>
      <c r="E39" s="1">
        <f>SUM(E3:E32)</f>
        <v>0.9234</v>
      </c>
    </row>
    <row r="41" spans="1:5">
      <c r="A41" t="s">
        <v>210</v>
      </c>
    </row>
    <row r="42" spans="1:5">
      <c r="A42" t="s">
        <v>88</v>
      </c>
      <c r="B42" t="s">
        <v>65</v>
      </c>
      <c r="C42" t="s">
        <v>211</v>
      </c>
      <c r="D42" s="1">
        <v>0.50480000000000003</v>
      </c>
    </row>
    <row r="43" spans="1:5" ht="25.15" customHeight="1">
      <c r="A43" t="s">
        <v>212</v>
      </c>
      <c r="B43" t="s">
        <v>65</v>
      </c>
      <c r="C43" t="s">
        <v>171</v>
      </c>
      <c r="D43" s="1">
        <v>0.30669999999999997</v>
      </c>
    </row>
    <row r="44" spans="1:5">
      <c r="A44" s="29" t="s">
        <v>213</v>
      </c>
      <c r="B44" s="29" t="s">
        <v>65</v>
      </c>
      <c r="C44" s="29" t="s">
        <v>165</v>
      </c>
      <c r="D44" s="30"/>
      <c r="E44" s="30">
        <f>D43*66.66%</f>
        <v>0.20444621999999998</v>
      </c>
    </row>
    <row r="45" spans="1:5">
      <c r="A45" s="29" t="s">
        <v>214</v>
      </c>
      <c r="B45" s="29" t="s">
        <v>215</v>
      </c>
      <c r="C45" s="29" t="s">
        <v>171</v>
      </c>
      <c r="D45" s="30"/>
      <c r="E45" s="30">
        <f>D43*33.33%</f>
        <v>0.10222310999999999</v>
      </c>
    </row>
    <row r="46" spans="1:5">
      <c r="A46" t="s">
        <v>216</v>
      </c>
      <c r="B46" t="s">
        <v>65</v>
      </c>
      <c r="C46" t="s">
        <v>165</v>
      </c>
      <c r="D46" s="1">
        <v>7.5800000000000006E-2</v>
      </c>
    </row>
    <row r="47" spans="1:5">
      <c r="A47" s="29" t="s">
        <v>213</v>
      </c>
      <c r="B47" s="29" t="s">
        <v>65</v>
      </c>
      <c r="C47" s="29" t="s">
        <v>165</v>
      </c>
      <c r="D47" s="30"/>
      <c r="E47" s="30">
        <f>D46*100%</f>
        <v>7.5800000000000006E-2</v>
      </c>
    </row>
    <row r="48" spans="1:5">
      <c r="A48" t="s">
        <v>217</v>
      </c>
      <c r="B48" t="s">
        <v>65</v>
      </c>
      <c r="C48" t="s">
        <v>165</v>
      </c>
      <c r="D48" s="1">
        <v>4.5499999999999999E-2</v>
      </c>
    </row>
    <row r="49" spans="1:5">
      <c r="A49" s="29" t="s">
        <v>218</v>
      </c>
      <c r="B49" s="29" t="s">
        <v>65</v>
      </c>
      <c r="C49" s="29" t="s">
        <v>211</v>
      </c>
      <c r="D49" s="30"/>
      <c r="E49" s="30">
        <f>D48*94.69%</f>
        <v>4.3083949999999996E-2</v>
      </c>
    </row>
    <row r="50" spans="1:5">
      <c r="A50" s="29" t="s">
        <v>219</v>
      </c>
      <c r="B50" s="29" t="s">
        <v>65</v>
      </c>
      <c r="C50" s="29" t="s">
        <v>211</v>
      </c>
      <c r="D50" s="30"/>
      <c r="E50" s="30">
        <f>D48*5.3%</f>
        <v>2.4115E-3</v>
      </c>
    </row>
    <row r="51" spans="1:5">
      <c r="A51" t="s">
        <v>220</v>
      </c>
      <c r="B51" t="s">
        <v>65</v>
      </c>
      <c r="C51" t="s">
        <v>165</v>
      </c>
      <c r="D51" s="1">
        <v>3.7699999999999997E-2</v>
      </c>
    </row>
    <row r="52" spans="1:5">
      <c r="A52" s="29" t="s">
        <v>221</v>
      </c>
      <c r="B52" s="29" t="s">
        <v>65</v>
      </c>
      <c r="C52" s="29" t="s">
        <v>165</v>
      </c>
      <c r="D52" s="30"/>
      <c r="E52" s="30">
        <f>D51*100%</f>
        <v>3.7699999999999997E-2</v>
      </c>
    </row>
    <row r="53" spans="1:5">
      <c r="A53" t="s">
        <v>222</v>
      </c>
      <c r="B53" t="s">
        <v>65</v>
      </c>
      <c r="C53" t="s">
        <v>211</v>
      </c>
      <c r="D53" s="1">
        <v>2.92E-2</v>
      </c>
    </row>
    <row r="54" spans="1:5">
      <c r="A54" s="69" t="s">
        <v>156</v>
      </c>
      <c r="B54" s="69"/>
      <c r="C54" s="69"/>
      <c r="D54" s="70">
        <v>0</v>
      </c>
      <c r="E54" s="70">
        <v>0</v>
      </c>
    </row>
    <row r="55" spans="1:5">
      <c r="A55" s="69" t="s">
        <v>206</v>
      </c>
      <c r="B55" s="69"/>
      <c r="C55" s="69"/>
      <c r="D55" s="70">
        <v>0</v>
      </c>
      <c r="E55" s="70">
        <v>0</v>
      </c>
    </row>
    <row r="56" spans="1:5">
      <c r="A56" s="69" t="s">
        <v>157</v>
      </c>
      <c r="B56" s="69"/>
      <c r="C56" s="69"/>
      <c r="D56" s="70">
        <v>0</v>
      </c>
      <c r="E56" s="70">
        <v>0</v>
      </c>
    </row>
    <row r="57" spans="1:5">
      <c r="A57" s="69" t="s">
        <v>207</v>
      </c>
      <c r="B57" s="69"/>
      <c r="C57" s="69"/>
      <c r="D57" s="70">
        <v>0</v>
      </c>
      <c r="E57" s="70">
        <v>0</v>
      </c>
    </row>
    <row r="58" spans="1:5">
      <c r="A58" s="69" t="s">
        <v>208</v>
      </c>
      <c r="B58" s="69"/>
      <c r="C58" s="69"/>
      <c r="D58" s="70">
        <v>0</v>
      </c>
      <c r="E58" s="70">
        <v>0</v>
      </c>
    </row>
    <row r="59" spans="1:5">
      <c r="A59" t="s">
        <v>209</v>
      </c>
      <c r="D59" s="1">
        <v>0</v>
      </c>
      <c r="E59" s="1">
        <v>0</v>
      </c>
    </row>
    <row r="60" spans="1:5">
      <c r="A60" t="s">
        <v>150</v>
      </c>
      <c r="D60" s="1">
        <f>SUM(D42:D59)</f>
        <v>0.99969999999999992</v>
      </c>
      <c r="E60" s="1">
        <f>SUM(E42:E53)</f>
        <v>0.46566477999999994</v>
      </c>
    </row>
    <row r="62" spans="1:5">
      <c r="A62" t="s">
        <v>223</v>
      </c>
    </row>
    <row r="63" spans="1:5">
      <c r="A63" t="s">
        <v>224</v>
      </c>
      <c r="B63" t="s">
        <v>35</v>
      </c>
      <c r="C63" t="s">
        <v>165</v>
      </c>
      <c r="D63" s="1">
        <v>0.109</v>
      </c>
    </row>
    <row r="64" spans="1:5">
      <c r="A64" s="29" t="s">
        <v>166</v>
      </c>
      <c r="B64" s="29" t="s">
        <v>35</v>
      </c>
      <c r="C64" s="29" t="s">
        <v>167</v>
      </c>
      <c r="D64" s="30"/>
      <c r="E64" s="30">
        <f>D63*100%</f>
        <v>0.109</v>
      </c>
    </row>
    <row r="65" spans="1:5">
      <c r="A65" t="s">
        <v>225</v>
      </c>
      <c r="B65" t="s">
        <v>39</v>
      </c>
      <c r="C65" t="s">
        <v>165</v>
      </c>
      <c r="D65" s="1">
        <v>0.108</v>
      </c>
    </row>
    <row r="66" spans="1:5">
      <c r="A66" s="29" t="s">
        <v>226</v>
      </c>
      <c r="B66" s="29" t="s">
        <v>39</v>
      </c>
      <c r="C66" s="29" t="s">
        <v>180</v>
      </c>
      <c r="D66" s="30"/>
      <c r="E66" s="30">
        <f>D65*90.9%</f>
        <v>9.8171999999999995E-2</v>
      </c>
    </row>
    <row r="67" spans="1:5">
      <c r="A67" s="29" t="s">
        <v>227</v>
      </c>
      <c r="B67" s="29" t="s">
        <v>39</v>
      </c>
      <c r="C67" s="29" t="s">
        <v>165</v>
      </c>
      <c r="D67" s="30"/>
      <c r="E67" s="30">
        <f>D65*9.09%</f>
        <v>9.8171999999999999E-3</v>
      </c>
    </row>
    <row r="68" spans="1:5">
      <c r="A68" t="s">
        <v>228</v>
      </c>
      <c r="B68" t="s">
        <v>44</v>
      </c>
      <c r="C68" t="s">
        <v>167</v>
      </c>
      <c r="D68" s="1">
        <v>4.1000000000000002E-2</v>
      </c>
    </row>
    <row r="69" spans="1:5">
      <c r="A69" s="29" t="s">
        <v>229</v>
      </c>
      <c r="B69" s="29" t="s">
        <v>44</v>
      </c>
      <c r="C69" s="29" t="s">
        <v>167</v>
      </c>
      <c r="D69" s="30"/>
      <c r="E69" s="30">
        <f>D68*50%</f>
        <v>2.0500000000000001E-2</v>
      </c>
    </row>
    <row r="70" spans="1:5">
      <c r="A70" t="s">
        <v>230</v>
      </c>
      <c r="B70" t="s">
        <v>156</v>
      </c>
      <c r="C70" t="s">
        <v>180</v>
      </c>
      <c r="E70" s="1">
        <v>3.61E-2</v>
      </c>
    </row>
    <row r="71" spans="1:5">
      <c r="A71" t="s">
        <v>231</v>
      </c>
      <c r="B71" t="s">
        <v>62</v>
      </c>
      <c r="C71" t="s">
        <v>165</v>
      </c>
      <c r="D71" s="1">
        <v>3.0200000000000001E-2</v>
      </c>
    </row>
    <row r="72" spans="1:5">
      <c r="A72" t="s">
        <v>232</v>
      </c>
      <c r="B72" t="s">
        <v>156</v>
      </c>
      <c r="C72" t="s">
        <v>176</v>
      </c>
      <c r="D72" s="1">
        <v>2.9700000000000001E-2</v>
      </c>
    </row>
    <row r="73" spans="1:5" ht="16.899999999999999" customHeight="1">
      <c r="A73" t="s">
        <v>233</v>
      </c>
      <c r="B73" t="s">
        <v>156</v>
      </c>
      <c r="C73" t="s">
        <v>180</v>
      </c>
      <c r="E73" s="1">
        <v>2.0999999999999999E-3</v>
      </c>
    </row>
    <row r="74" spans="1:5" ht="16.899999999999999" customHeight="1">
      <c r="A74" t="s">
        <v>234</v>
      </c>
      <c r="B74" t="s">
        <v>41</v>
      </c>
      <c r="C74" t="s">
        <v>198</v>
      </c>
      <c r="D74" s="1">
        <v>2E-3</v>
      </c>
    </row>
    <row r="75" spans="1:5" ht="16.899999999999999" customHeight="1">
      <c r="A75" t="s">
        <v>235</v>
      </c>
      <c r="B75" t="s">
        <v>44</v>
      </c>
      <c r="C75" t="s">
        <v>176</v>
      </c>
      <c r="D75" s="1">
        <v>2.9999999999999997E-4</v>
      </c>
    </row>
    <row r="76" spans="1:5" ht="16.899999999999999" customHeight="1">
      <c r="A76" s="29" t="s">
        <v>236</v>
      </c>
      <c r="B76" s="29" t="s">
        <v>44</v>
      </c>
      <c r="C76" s="29" t="s">
        <v>193</v>
      </c>
      <c r="D76" s="30"/>
      <c r="E76" s="30">
        <f>D75*86.49%</f>
        <v>2.5946999999999998E-4</v>
      </c>
    </row>
    <row r="77" spans="1:5" ht="16.899999999999999" customHeight="1">
      <c r="A77" s="29" t="s">
        <v>237</v>
      </c>
      <c r="B77" s="29" t="s">
        <v>44</v>
      </c>
      <c r="C77" s="29" t="s">
        <v>171</v>
      </c>
      <c r="D77" s="30"/>
      <c r="E77" s="30">
        <f>D75*8.39%</f>
        <v>2.5169999999999998E-5</v>
      </c>
    </row>
    <row r="78" spans="1:5" ht="16.899999999999999" customHeight="1">
      <c r="A78" s="29" t="s">
        <v>238</v>
      </c>
      <c r="B78" s="29" t="s">
        <v>44</v>
      </c>
      <c r="C78" s="29" t="s">
        <v>165</v>
      </c>
      <c r="D78" s="30"/>
      <c r="E78" s="30">
        <f>D75*5.12%</f>
        <v>1.5359999999999999E-5</v>
      </c>
    </row>
    <row r="79" spans="1:5">
      <c r="A79" s="69" t="s">
        <v>156</v>
      </c>
      <c r="B79" s="69"/>
      <c r="C79" s="69"/>
      <c r="D79" s="70">
        <f>D72</f>
        <v>2.9700000000000001E-2</v>
      </c>
      <c r="E79" s="70">
        <f>E70+E73</f>
        <v>3.8199999999999998E-2</v>
      </c>
    </row>
    <row r="80" spans="1:5">
      <c r="A80" s="69" t="s">
        <v>206</v>
      </c>
      <c r="B80" s="69"/>
      <c r="C80" s="69"/>
      <c r="D80" s="70">
        <v>0</v>
      </c>
      <c r="E80" s="70">
        <v>0</v>
      </c>
    </row>
    <row r="81" spans="1:5">
      <c r="A81" s="69" t="s">
        <v>157</v>
      </c>
      <c r="B81" s="69"/>
      <c r="C81" s="69"/>
      <c r="D81" s="70">
        <v>0</v>
      </c>
      <c r="E81" s="70">
        <v>0</v>
      </c>
    </row>
    <row r="82" spans="1:5">
      <c r="A82" s="69" t="s">
        <v>207</v>
      </c>
      <c r="B82" s="69"/>
      <c r="C82" s="69"/>
      <c r="D82" s="70">
        <v>0</v>
      </c>
      <c r="E82" s="70">
        <v>0</v>
      </c>
    </row>
    <row r="83" spans="1:5">
      <c r="A83" s="69" t="s">
        <v>208</v>
      </c>
      <c r="B83" s="69"/>
      <c r="C83" s="69"/>
      <c r="D83" s="70">
        <v>0</v>
      </c>
      <c r="E83" s="70">
        <v>0</v>
      </c>
    </row>
    <row r="84" spans="1:5" ht="16.899999999999999" customHeight="1">
      <c r="A84" t="s">
        <v>239</v>
      </c>
      <c r="D84" s="1">
        <f>D72</f>
        <v>2.9700000000000001E-2</v>
      </c>
      <c r="E84" s="1">
        <f>E70+E73</f>
        <v>3.8199999999999998E-2</v>
      </c>
    </row>
    <row r="85" spans="1:5" ht="16.899999999999999" customHeight="1">
      <c r="A85" t="s">
        <v>150</v>
      </c>
      <c r="D85" s="1">
        <f>SUM(D63:D75)</f>
        <v>0.32020000000000004</v>
      </c>
      <c r="E85" s="1">
        <f>SUM(E63:E78)</f>
        <v>0.27598919999999999</v>
      </c>
    </row>
    <row r="86" spans="1:5" ht="16.899999999999999" customHeight="1"/>
    <row r="87" spans="1:5">
      <c r="A87" t="s">
        <v>240</v>
      </c>
    </row>
    <row r="88" spans="1:5">
      <c r="A88" t="s">
        <v>109</v>
      </c>
      <c r="B88" t="s">
        <v>39</v>
      </c>
      <c r="C88" t="s">
        <v>211</v>
      </c>
      <c r="D88" s="1">
        <v>0.69720000000000004</v>
      </c>
    </row>
    <row r="89" spans="1:5">
      <c r="A89" t="s">
        <v>241</v>
      </c>
      <c r="B89" t="s">
        <v>39</v>
      </c>
      <c r="C89" t="s">
        <v>211</v>
      </c>
      <c r="D89" s="1">
        <v>2.1700000000000001E-2</v>
      </c>
    </row>
    <row r="90" spans="1:5">
      <c r="A90" t="s">
        <v>242</v>
      </c>
      <c r="B90" t="s">
        <v>67</v>
      </c>
      <c r="C90" t="s">
        <v>211</v>
      </c>
      <c r="E90" s="1">
        <v>6.7000000000000002E-3</v>
      </c>
    </row>
    <row r="91" spans="1:5">
      <c r="A91" t="s">
        <v>243</v>
      </c>
      <c r="B91" t="s">
        <v>156</v>
      </c>
      <c r="C91" t="s">
        <v>165</v>
      </c>
      <c r="E91" s="1">
        <v>6.0000000000000001E-3</v>
      </c>
    </row>
    <row r="92" spans="1:5">
      <c r="A92" t="s">
        <v>244</v>
      </c>
      <c r="B92" t="s">
        <v>157</v>
      </c>
      <c r="C92" t="s">
        <v>165</v>
      </c>
      <c r="E92" s="1">
        <v>5.7999999999999996E-3</v>
      </c>
    </row>
    <row r="93" spans="1:5">
      <c r="A93" t="s">
        <v>245</v>
      </c>
      <c r="B93" t="s">
        <v>246</v>
      </c>
      <c r="C93" t="s">
        <v>176</v>
      </c>
      <c r="E93" s="1">
        <v>5.7999999999999996E-3</v>
      </c>
    </row>
    <row r="94" spans="1:5">
      <c r="A94" t="s">
        <v>247</v>
      </c>
      <c r="B94" t="s">
        <v>33</v>
      </c>
      <c r="C94" t="s">
        <v>171</v>
      </c>
      <c r="E94" s="1">
        <v>5.1999999999999998E-3</v>
      </c>
    </row>
    <row r="95" spans="1:5">
      <c r="A95" t="s">
        <v>248</v>
      </c>
      <c r="B95" t="s">
        <v>35</v>
      </c>
      <c r="C95" t="s">
        <v>165</v>
      </c>
      <c r="E95" s="1">
        <v>3.7000000000000002E-3</v>
      </c>
    </row>
    <row r="96" spans="1:5">
      <c r="A96" t="s">
        <v>249</v>
      </c>
      <c r="B96" t="s">
        <v>39</v>
      </c>
      <c r="C96" t="s">
        <v>182</v>
      </c>
      <c r="E96" s="1">
        <v>2.7000000000000001E-3</v>
      </c>
    </row>
    <row r="97" spans="1:5">
      <c r="A97" t="s">
        <v>234</v>
      </c>
      <c r="B97" t="s">
        <v>39</v>
      </c>
      <c r="C97" t="s">
        <v>198</v>
      </c>
      <c r="D97" s="1">
        <v>2.5000000000000001E-3</v>
      </c>
    </row>
    <row r="98" spans="1:5">
      <c r="A98" t="s">
        <v>250</v>
      </c>
      <c r="B98" t="s">
        <v>35</v>
      </c>
      <c r="C98" t="s">
        <v>171</v>
      </c>
      <c r="E98" s="1">
        <v>2.3E-3</v>
      </c>
    </row>
    <row r="99" spans="1:5">
      <c r="A99" t="s">
        <v>251</v>
      </c>
      <c r="B99" t="s">
        <v>39</v>
      </c>
      <c r="C99" t="s">
        <v>165</v>
      </c>
      <c r="E99" s="1">
        <v>2E-3</v>
      </c>
    </row>
    <row r="100" spans="1:5">
      <c r="A100" t="s">
        <v>252</v>
      </c>
      <c r="B100" t="s">
        <v>157</v>
      </c>
      <c r="C100" t="s">
        <v>182</v>
      </c>
      <c r="E100" s="1">
        <v>1.5E-3</v>
      </c>
    </row>
    <row r="101" spans="1:5">
      <c r="A101" t="s">
        <v>253</v>
      </c>
      <c r="B101" t="s">
        <v>156</v>
      </c>
      <c r="C101" t="s">
        <v>180</v>
      </c>
      <c r="E101" s="1">
        <v>1.4E-3</v>
      </c>
    </row>
    <row r="102" spans="1:5">
      <c r="A102" t="s">
        <v>254</v>
      </c>
      <c r="B102" t="s">
        <v>39</v>
      </c>
      <c r="C102" t="s">
        <v>171</v>
      </c>
      <c r="E102" s="1">
        <v>1.4E-3</v>
      </c>
    </row>
    <row r="103" spans="1:5">
      <c r="A103" t="s">
        <v>255</v>
      </c>
      <c r="B103" t="s">
        <v>39</v>
      </c>
      <c r="C103" t="s">
        <v>165</v>
      </c>
      <c r="E103" s="1">
        <v>1.1000000000000001E-3</v>
      </c>
    </row>
    <row r="104" spans="1:5">
      <c r="A104" t="s">
        <v>256</v>
      </c>
      <c r="B104" t="s">
        <v>39</v>
      </c>
      <c r="C104" t="s">
        <v>180</v>
      </c>
      <c r="E104" s="1">
        <v>1E-3</v>
      </c>
    </row>
    <row r="105" spans="1:5">
      <c r="A105" s="69" t="s">
        <v>156</v>
      </c>
      <c r="B105" s="69"/>
      <c r="C105" s="69"/>
      <c r="D105" s="70">
        <v>0</v>
      </c>
      <c r="E105" s="70">
        <f>E91+E101</f>
        <v>7.4000000000000003E-3</v>
      </c>
    </row>
    <row r="106" spans="1:5">
      <c r="A106" s="69" t="s">
        <v>206</v>
      </c>
      <c r="B106" s="69"/>
      <c r="C106" s="69"/>
      <c r="D106" s="70">
        <v>0</v>
      </c>
      <c r="E106" s="70">
        <v>0</v>
      </c>
    </row>
    <row r="107" spans="1:5">
      <c r="A107" s="69" t="s">
        <v>157</v>
      </c>
      <c r="B107" s="69"/>
      <c r="C107" s="69"/>
      <c r="D107" s="70">
        <v>0</v>
      </c>
      <c r="E107" s="70">
        <f>E92+E100</f>
        <v>7.2999999999999992E-3</v>
      </c>
    </row>
    <row r="108" spans="1:5">
      <c r="A108" s="69" t="s">
        <v>207</v>
      </c>
      <c r="B108" s="69"/>
      <c r="C108" s="69"/>
      <c r="D108" s="70">
        <v>0</v>
      </c>
      <c r="E108" s="70">
        <f>E90</f>
        <v>6.7000000000000002E-3</v>
      </c>
    </row>
    <row r="109" spans="1:5">
      <c r="A109" s="69" t="s">
        <v>208</v>
      </c>
      <c r="B109" s="69"/>
      <c r="C109" s="69"/>
      <c r="D109" s="70">
        <v>0</v>
      </c>
      <c r="E109" s="70">
        <v>0</v>
      </c>
    </row>
    <row r="110" spans="1:5">
      <c r="A110" t="s">
        <v>209</v>
      </c>
      <c r="D110" s="1">
        <f>0</f>
        <v>0</v>
      </c>
      <c r="E110" s="1">
        <f>E90+E91+E92+E100+E101</f>
        <v>2.1399999999999999E-2</v>
      </c>
    </row>
    <row r="111" spans="1:5">
      <c r="A111" t="s">
        <v>150</v>
      </c>
      <c r="D111" s="1">
        <f>SUM(D88:D104)</f>
        <v>0.72140000000000004</v>
      </c>
      <c r="E111" s="1">
        <f>SUM(E88:E104)</f>
        <v>4.6599999999999996E-2</v>
      </c>
    </row>
    <row r="113" spans="1:5">
      <c r="A113" t="s">
        <v>257</v>
      </c>
    </row>
    <row r="114" spans="1:5">
      <c r="A114" t="s">
        <v>258</v>
      </c>
      <c r="B114" t="s">
        <v>35</v>
      </c>
      <c r="C114" t="s">
        <v>165</v>
      </c>
      <c r="D114" s="1">
        <v>0.34749999999999998</v>
      </c>
    </row>
    <row r="115" spans="1:5">
      <c r="A115" s="29" t="s">
        <v>259</v>
      </c>
      <c r="B115" s="29" t="s">
        <v>35</v>
      </c>
      <c r="C115" s="29" t="s">
        <v>180</v>
      </c>
      <c r="D115" s="30"/>
      <c r="E115" s="30">
        <f>D114*99.99%</f>
        <v>0.34746524999999995</v>
      </c>
    </row>
    <row r="116" spans="1:5">
      <c r="A116" t="s">
        <v>77</v>
      </c>
      <c r="B116" t="s">
        <v>35</v>
      </c>
      <c r="C116" t="s">
        <v>165</v>
      </c>
      <c r="D116" s="28">
        <v>0.25</v>
      </c>
      <c r="E116" s="28"/>
    </row>
    <row r="117" spans="1:5">
      <c r="A117" s="29" t="s">
        <v>260</v>
      </c>
      <c r="B117" s="29" t="s">
        <v>35</v>
      </c>
      <c r="C117" s="29" t="s">
        <v>176</v>
      </c>
      <c r="D117" s="30"/>
      <c r="E117" s="30">
        <f>D116*62.3%</f>
        <v>0.15575</v>
      </c>
    </row>
    <row r="118" spans="1:5">
      <c r="A118" s="29" t="s">
        <v>261</v>
      </c>
      <c r="B118" s="29"/>
      <c r="C118" s="29" t="s">
        <v>262</v>
      </c>
      <c r="D118" s="30"/>
      <c r="E118" s="30">
        <f>D116*27%</f>
        <v>6.7500000000000004E-2</v>
      </c>
    </row>
    <row r="119" spans="1:5">
      <c r="A119" s="29" t="s">
        <v>40</v>
      </c>
      <c r="B119" s="29" t="s">
        <v>41</v>
      </c>
      <c r="C119" s="29" t="s">
        <v>165</v>
      </c>
      <c r="D119" s="30"/>
      <c r="E119" s="30">
        <f>D116*9.9%</f>
        <v>2.4750000000000001E-2</v>
      </c>
    </row>
    <row r="120" spans="1:5">
      <c r="A120" s="29" t="s">
        <v>234</v>
      </c>
      <c r="B120" s="29"/>
      <c r="C120" s="29" t="s">
        <v>198</v>
      </c>
      <c r="D120" s="30"/>
      <c r="E120" s="30">
        <v>8.0000000000000002E-3</v>
      </c>
    </row>
    <row r="121" spans="1:5">
      <c r="A121" t="s">
        <v>263</v>
      </c>
      <c r="B121" t="s">
        <v>62</v>
      </c>
      <c r="C121" t="s">
        <v>169</v>
      </c>
      <c r="D121" s="1">
        <v>3.9899999999999998E-2</v>
      </c>
    </row>
    <row r="122" spans="1:5">
      <c r="A122" t="s">
        <v>201</v>
      </c>
      <c r="B122" t="s">
        <v>62</v>
      </c>
      <c r="C122" t="s">
        <v>169</v>
      </c>
      <c r="D122" s="1">
        <v>0.03</v>
      </c>
    </row>
    <row r="123" spans="1:5">
      <c r="A123" t="s">
        <v>264</v>
      </c>
      <c r="B123" t="s">
        <v>156</v>
      </c>
      <c r="C123" t="s">
        <v>165</v>
      </c>
      <c r="E123">
        <v>1.9800000000000002E-2</v>
      </c>
    </row>
    <row r="124" spans="1:5">
      <c r="A124" t="s">
        <v>265</v>
      </c>
      <c r="B124" t="s">
        <v>156</v>
      </c>
      <c r="C124" t="s">
        <v>180</v>
      </c>
      <c r="E124" s="1">
        <v>1.89E-2</v>
      </c>
    </row>
    <row r="125" spans="1:5">
      <c r="A125" t="s">
        <v>266</v>
      </c>
      <c r="B125" t="s">
        <v>35</v>
      </c>
      <c r="C125" t="s">
        <v>180</v>
      </c>
      <c r="E125" s="1">
        <v>1.41E-2</v>
      </c>
    </row>
    <row r="126" spans="1:5">
      <c r="A126" t="s">
        <v>267</v>
      </c>
      <c r="B126" t="s">
        <v>158</v>
      </c>
      <c r="C126" t="s">
        <v>167</v>
      </c>
      <c r="E126" s="1">
        <v>1.4E-2</v>
      </c>
    </row>
    <row r="127" spans="1:5">
      <c r="A127" t="s">
        <v>268</v>
      </c>
      <c r="B127" t="s">
        <v>156</v>
      </c>
      <c r="C127" t="s">
        <v>165</v>
      </c>
      <c r="E127" s="1">
        <v>1.37E-2</v>
      </c>
    </row>
    <row r="128" spans="1:5">
      <c r="A128" t="s">
        <v>269</v>
      </c>
      <c r="B128" t="s">
        <v>156</v>
      </c>
      <c r="C128" t="s">
        <v>171</v>
      </c>
      <c r="E128" s="1">
        <v>8.8999999999999999E-3</v>
      </c>
    </row>
    <row r="129" spans="1:5">
      <c r="A129" t="s">
        <v>270</v>
      </c>
      <c r="B129" t="s">
        <v>35</v>
      </c>
      <c r="C129" t="s">
        <v>165</v>
      </c>
      <c r="E129" s="1">
        <v>8.6999999999999994E-3</v>
      </c>
    </row>
    <row r="130" spans="1:5">
      <c r="A130" t="s">
        <v>271</v>
      </c>
      <c r="B130" t="s">
        <v>156</v>
      </c>
      <c r="C130" t="s">
        <v>180</v>
      </c>
      <c r="E130" s="1">
        <v>8.2000000000000007E-3</v>
      </c>
    </row>
    <row r="131" spans="1:5">
      <c r="A131" t="s">
        <v>272</v>
      </c>
      <c r="B131" t="s">
        <v>156</v>
      </c>
      <c r="C131" t="s">
        <v>176</v>
      </c>
      <c r="E131" s="1">
        <v>7.7000000000000002E-3</v>
      </c>
    </row>
    <row r="132" spans="1:5">
      <c r="A132" t="s">
        <v>234</v>
      </c>
      <c r="B132" t="s">
        <v>35</v>
      </c>
      <c r="C132" t="s">
        <v>198</v>
      </c>
      <c r="D132" s="1">
        <v>7.1000000000000004E-3</v>
      </c>
    </row>
    <row r="133" spans="1:5">
      <c r="A133" t="s">
        <v>273</v>
      </c>
      <c r="B133" t="s">
        <v>61</v>
      </c>
      <c r="C133" t="s">
        <v>167</v>
      </c>
      <c r="E133" s="1">
        <v>6.7000000000000002E-3</v>
      </c>
    </row>
    <row r="134" spans="1:5">
      <c r="A134" t="s">
        <v>274</v>
      </c>
      <c r="B134" t="s">
        <v>61</v>
      </c>
      <c r="C134" t="s">
        <v>176</v>
      </c>
      <c r="E134" s="1">
        <v>6.4000000000000003E-3</v>
      </c>
    </row>
    <row r="135" spans="1:5">
      <c r="A135" t="s">
        <v>275</v>
      </c>
      <c r="B135" t="s">
        <v>35</v>
      </c>
      <c r="C135" t="s">
        <v>182</v>
      </c>
      <c r="E135" s="1">
        <v>6.1999999999999998E-3</v>
      </c>
    </row>
    <row r="136" spans="1:5">
      <c r="A136" t="s">
        <v>276</v>
      </c>
      <c r="B136" t="s">
        <v>61</v>
      </c>
      <c r="C136" t="s">
        <v>182</v>
      </c>
      <c r="E136" s="1">
        <v>5.7000000000000002E-3</v>
      </c>
    </row>
    <row r="137" spans="1:5">
      <c r="A137" t="s">
        <v>277</v>
      </c>
      <c r="B137" t="s">
        <v>156</v>
      </c>
      <c r="C137" t="s">
        <v>176</v>
      </c>
      <c r="E137" s="1">
        <v>5.3E-3</v>
      </c>
    </row>
    <row r="138" spans="1:5">
      <c r="A138" t="s">
        <v>278</v>
      </c>
      <c r="B138" t="s">
        <v>156</v>
      </c>
      <c r="C138" t="s">
        <v>165</v>
      </c>
      <c r="E138" s="1">
        <v>5.1999999999999998E-3</v>
      </c>
    </row>
    <row r="139" spans="1:5">
      <c r="A139" t="s">
        <v>252</v>
      </c>
      <c r="B139" t="s">
        <v>157</v>
      </c>
      <c r="C139" t="s">
        <v>182</v>
      </c>
      <c r="E139" s="1">
        <v>4.1999999999999997E-3</v>
      </c>
    </row>
    <row r="140" spans="1:5">
      <c r="A140" t="s">
        <v>279</v>
      </c>
      <c r="B140" t="s">
        <v>280</v>
      </c>
      <c r="C140" t="s">
        <v>180</v>
      </c>
      <c r="E140" s="1">
        <v>3.5999999999999999E-3</v>
      </c>
    </row>
    <row r="141" spans="1:5">
      <c r="A141" t="s">
        <v>281</v>
      </c>
      <c r="B141" t="s">
        <v>280</v>
      </c>
      <c r="C141" t="s">
        <v>180</v>
      </c>
      <c r="E141" s="1">
        <v>3.5000000000000001E-3</v>
      </c>
    </row>
    <row r="142" spans="1:5">
      <c r="A142" t="s">
        <v>282</v>
      </c>
      <c r="B142" t="s">
        <v>39</v>
      </c>
      <c r="C142" t="s">
        <v>180</v>
      </c>
      <c r="E142" s="1">
        <v>3.2000000000000002E-3</v>
      </c>
    </row>
    <row r="143" spans="1:5">
      <c r="A143" t="s">
        <v>283</v>
      </c>
      <c r="B143" t="s">
        <v>156</v>
      </c>
      <c r="C143" t="s">
        <v>176</v>
      </c>
      <c r="E143" s="1">
        <v>3.2000000000000002E-3</v>
      </c>
    </row>
    <row r="144" spans="1:5">
      <c r="A144" t="s">
        <v>284</v>
      </c>
      <c r="B144" t="s">
        <v>156</v>
      </c>
      <c r="C144" t="s">
        <v>176</v>
      </c>
      <c r="E144" s="1">
        <v>2.7000000000000001E-3</v>
      </c>
    </row>
    <row r="145" spans="1:5">
      <c r="A145" t="s">
        <v>285</v>
      </c>
      <c r="B145" t="s">
        <v>156</v>
      </c>
      <c r="C145" t="s">
        <v>176</v>
      </c>
      <c r="E145" s="1">
        <v>2.7000000000000001E-3</v>
      </c>
    </row>
    <row r="146" spans="1:5">
      <c r="A146" t="s">
        <v>286</v>
      </c>
      <c r="B146" t="s">
        <v>157</v>
      </c>
      <c r="C146" t="s">
        <v>180</v>
      </c>
      <c r="E146" s="1">
        <v>2.5000000000000001E-3</v>
      </c>
    </row>
    <row r="147" spans="1:5">
      <c r="A147" t="s">
        <v>287</v>
      </c>
      <c r="B147" t="s">
        <v>35</v>
      </c>
      <c r="C147" t="s">
        <v>165</v>
      </c>
      <c r="E147" s="1">
        <v>2.5000000000000001E-3</v>
      </c>
    </row>
    <row r="148" spans="1:5">
      <c r="A148" t="s">
        <v>288</v>
      </c>
      <c r="B148" t="s">
        <v>156</v>
      </c>
      <c r="C148" t="s">
        <v>165</v>
      </c>
      <c r="E148" s="1">
        <v>2.3E-3</v>
      </c>
    </row>
    <row r="149" spans="1:5">
      <c r="A149" t="s">
        <v>289</v>
      </c>
      <c r="B149" t="s">
        <v>156</v>
      </c>
      <c r="C149" t="s">
        <v>180</v>
      </c>
      <c r="E149" s="1">
        <v>2.2000000000000001E-3</v>
      </c>
    </row>
    <row r="150" spans="1:5">
      <c r="A150" t="s">
        <v>290</v>
      </c>
      <c r="B150" t="s">
        <v>35</v>
      </c>
      <c r="C150" t="s">
        <v>180</v>
      </c>
      <c r="E150" s="1">
        <v>2E-3</v>
      </c>
    </row>
    <row r="151" spans="1:5">
      <c r="A151" t="s">
        <v>291</v>
      </c>
      <c r="B151" t="s">
        <v>156</v>
      </c>
      <c r="C151" t="s">
        <v>165</v>
      </c>
      <c r="E151" s="1">
        <v>1.6000000000000001E-3</v>
      </c>
    </row>
    <row r="152" spans="1:5">
      <c r="A152" t="s">
        <v>292</v>
      </c>
      <c r="B152" t="s">
        <v>61</v>
      </c>
      <c r="C152" t="s">
        <v>171</v>
      </c>
      <c r="E152" s="1">
        <v>1.6000000000000001E-3</v>
      </c>
    </row>
    <row r="153" spans="1:5">
      <c r="A153" t="s">
        <v>293</v>
      </c>
      <c r="B153" t="s">
        <v>157</v>
      </c>
      <c r="C153" t="s">
        <v>171</v>
      </c>
      <c r="E153" s="1">
        <v>1.6000000000000001E-3</v>
      </c>
    </row>
    <row r="154" spans="1:5">
      <c r="A154" t="s">
        <v>294</v>
      </c>
      <c r="B154" t="s">
        <v>35</v>
      </c>
      <c r="C154" t="s">
        <v>182</v>
      </c>
      <c r="E154" s="1">
        <v>1.6000000000000001E-3</v>
      </c>
    </row>
    <row r="155" spans="1:5">
      <c r="A155" t="s">
        <v>295</v>
      </c>
      <c r="B155" t="s">
        <v>61</v>
      </c>
      <c r="C155" t="s">
        <v>180</v>
      </c>
      <c r="E155" s="1">
        <v>1.5E-3</v>
      </c>
    </row>
    <row r="156" spans="1:5">
      <c r="A156" t="s">
        <v>296</v>
      </c>
      <c r="B156" t="s">
        <v>47</v>
      </c>
      <c r="C156" t="s">
        <v>180</v>
      </c>
      <c r="E156" s="1">
        <v>1.5E-3</v>
      </c>
    </row>
    <row r="157" spans="1:5">
      <c r="A157" t="s">
        <v>297</v>
      </c>
      <c r="B157" t="s">
        <v>156</v>
      </c>
      <c r="C157" t="s">
        <v>176</v>
      </c>
      <c r="E157" s="1">
        <v>1.5E-3</v>
      </c>
    </row>
    <row r="158" spans="1:5">
      <c r="A158" t="s">
        <v>298</v>
      </c>
      <c r="B158" t="s">
        <v>156</v>
      </c>
      <c r="C158" t="s">
        <v>165</v>
      </c>
      <c r="E158" s="1">
        <v>1.4E-3</v>
      </c>
    </row>
    <row r="159" spans="1:5">
      <c r="A159" t="s">
        <v>299</v>
      </c>
      <c r="B159" t="s">
        <v>156</v>
      </c>
      <c r="C159" t="s">
        <v>167</v>
      </c>
      <c r="E159" s="1">
        <v>1.4E-3</v>
      </c>
    </row>
    <row r="160" spans="1:5">
      <c r="A160" t="s">
        <v>300</v>
      </c>
      <c r="B160" t="s">
        <v>156</v>
      </c>
      <c r="C160" t="s">
        <v>165</v>
      </c>
      <c r="E160" s="1">
        <v>1.4E-3</v>
      </c>
    </row>
    <row r="161" spans="1:5">
      <c r="A161" t="s">
        <v>301</v>
      </c>
      <c r="B161" t="s">
        <v>47</v>
      </c>
      <c r="C161" t="s">
        <v>180</v>
      </c>
      <c r="E161" s="1">
        <v>1.2999999999999999E-3</v>
      </c>
    </row>
    <row r="162" spans="1:5">
      <c r="A162" t="s">
        <v>302</v>
      </c>
      <c r="B162" t="s">
        <v>67</v>
      </c>
      <c r="C162" t="s">
        <v>180</v>
      </c>
      <c r="E162" s="1">
        <v>1.2999999999999999E-3</v>
      </c>
    </row>
    <row r="163" spans="1:5">
      <c r="A163" t="s">
        <v>303</v>
      </c>
      <c r="B163" t="s">
        <v>304</v>
      </c>
      <c r="C163" t="s">
        <v>180</v>
      </c>
      <c r="E163" s="1">
        <v>1.2999999999999999E-3</v>
      </c>
    </row>
    <row r="164" spans="1:5">
      <c r="A164" t="s">
        <v>305</v>
      </c>
      <c r="B164" t="s">
        <v>156</v>
      </c>
      <c r="C164" t="s">
        <v>165</v>
      </c>
      <c r="E164" s="1">
        <v>1.2999999999999999E-3</v>
      </c>
    </row>
    <row r="165" spans="1:5">
      <c r="A165" t="s">
        <v>306</v>
      </c>
      <c r="B165" t="s">
        <v>67</v>
      </c>
      <c r="C165" t="s">
        <v>180</v>
      </c>
      <c r="E165" s="1">
        <v>1.2999999999999999E-3</v>
      </c>
    </row>
    <row r="166" spans="1:5">
      <c r="A166" t="s">
        <v>307</v>
      </c>
      <c r="B166" t="s">
        <v>156</v>
      </c>
      <c r="C166" t="s">
        <v>171</v>
      </c>
      <c r="E166" s="1">
        <v>1.1999999999999999E-3</v>
      </c>
    </row>
    <row r="167" spans="1:5">
      <c r="A167" t="s">
        <v>308</v>
      </c>
      <c r="B167" t="s">
        <v>39</v>
      </c>
      <c r="C167" t="s">
        <v>180</v>
      </c>
      <c r="E167" s="1">
        <v>1.1999999999999999E-3</v>
      </c>
    </row>
    <row r="168" spans="1:5">
      <c r="A168" t="s">
        <v>309</v>
      </c>
      <c r="B168" t="s">
        <v>157</v>
      </c>
      <c r="C168" t="s">
        <v>176</v>
      </c>
      <c r="E168" s="1">
        <v>1.1999999999999999E-3</v>
      </c>
    </row>
    <row r="169" spans="1:5">
      <c r="A169" t="s">
        <v>310</v>
      </c>
      <c r="B169" t="s">
        <v>156</v>
      </c>
      <c r="C169" t="s">
        <v>180</v>
      </c>
      <c r="E169" s="1">
        <v>1.1000000000000001E-3</v>
      </c>
    </row>
    <row r="170" spans="1:5">
      <c r="A170" t="s">
        <v>311</v>
      </c>
      <c r="B170" t="s">
        <v>35</v>
      </c>
      <c r="C170" t="s">
        <v>182</v>
      </c>
      <c r="E170" s="1">
        <v>1.1000000000000001E-3</v>
      </c>
    </row>
    <row r="171" spans="1:5">
      <c r="A171" t="s">
        <v>312</v>
      </c>
      <c r="B171" t="s">
        <v>156</v>
      </c>
      <c r="C171" t="s">
        <v>180</v>
      </c>
      <c r="E171" s="1">
        <v>1.1000000000000001E-3</v>
      </c>
    </row>
    <row r="172" spans="1:5">
      <c r="A172" s="69" t="s">
        <v>156</v>
      </c>
      <c r="B172" s="69"/>
      <c r="C172" s="69"/>
      <c r="D172" s="70">
        <v>0</v>
      </c>
      <c r="E172" s="70">
        <f>SUM(E123:E124,E127:E128,E130:E131,E137:E138,E143:E145,E148:E149,E151,E157:E160,E164,E166,E169,E171)</f>
        <v>0.11279999999999998</v>
      </c>
    </row>
    <row r="173" spans="1:5">
      <c r="A173" s="69" t="s">
        <v>206</v>
      </c>
      <c r="B173" s="69"/>
      <c r="C173" s="69"/>
      <c r="D173" s="70">
        <v>0</v>
      </c>
      <c r="E173" s="70">
        <f>E133+E134+E136+E152+E155</f>
        <v>2.1900000000000003E-2</v>
      </c>
    </row>
    <row r="174" spans="1:5">
      <c r="A174" s="69" t="s">
        <v>157</v>
      </c>
      <c r="B174" s="69"/>
      <c r="C174" s="69"/>
      <c r="D174" s="70">
        <v>0</v>
      </c>
      <c r="E174" s="70">
        <f>E168+E153+E146+E139</f>
        <v>9.4999999999999998E-3</v>
      </c>
    </row>
    <row r="175" spans="1:5">
      <c r="A175" s="69" t="s">
        <v>207</v>
      </c>
      <c r="B175" s="69"/>
      <c r="C175" s="69"/>
      <c r="D175" s="70">
        <v>0</v>
      </c>
      <c r="E175" s="70">
        <f>E162+E165</f>
        <v>2.5999999999999999E-3</v>
      </c>
    </row>
    <row r="176" spans="1:5">
      <c r="A176" s="69" t="s">
        <v>208</v>
      </c>
      <c r="B176" s="69"/>
      <c r="C176" s="69"/>
      <c r="D176" s="70">
        <v>0</v>
      </c>
      <c r="E176" s="70">
        <f>E12</f>
        <v>1.5800000000000002E-2</v>
      </c>
    </row>
    <row r="177" spans="1:5">
      <c r="A177" t="s">
        <v>209</v>
      </c>
      <c r="D177" s="1">
        <f>0</f>
        <v>0</v>
      </c>
      <c r="E177" s="1">
        <f>E123+E124+E126+E127+E128+E130+E131+E133+E134+E136+E137+E138+E139+E140+E141+E143+E144+E145+E146+E148+E149+E151+E152+E153+E155+E157+E158+E159+E160+E162+E163+E164+E165+E166+E168+E169+E171</f>
        <v>0.16920000000000002</v>
      </c>
    </row>
    <row r="178" spans="1:5">
      <c r="A178" t="s">
        <v>150</v>
      </c>
      <c r="D178" s="1">
        <f>SUM(D114:D171)</f>
        <v>0.67449999999999999</v>
      </c>
      <c r="E178" s="1">
        <f>SUM(E114:E171)</f>
        <v>0.81606524999999974</v>
      </c>
    </row>
    <row r="180" spans="1:5">
      <c r="A180" t="s">
        <v>313</v>
      </c>
    </row>
    <row r="181" spans="1:5">
      <c r="A181" t="s">
        <v>314</v>
      </c>
      <c r="B181" t="s">
        <v>62</v>
      </c>
      <c r="C181" t="s">
        <v>315</v>
      </c>
      <c r="D181" s="1">
        <v>0.4</v>
      </c>
    </row>
    <row r="182" spans="1:5">
      <c r="A182" t="s">
        <v>316</v>
      </c>
      <c r="B182" t="s">
        <v>62</v>
      </c>
      <c r="C182" t="s">
        <v>173</v>
      </c>
      <c r="D182" s="1">
        <v>0.33</v>
      </c>
    </row>
    <row r="183" spans="1:5">
      <c r="A183" t="s">
        <v>317</v>
      </c>
      <c r="B183" t="s">
        <v>35</v>
      </c>
      <c r="C183" t="s">
        <v>315</v>
      </c>
      <c r="D183" s="1">
        <v>0.15</v>
      </c>
    </row>
    <row r="184" spans="1:5">
      <c r="A184" t="s">
        <v>318</v>
      </c>
      <c r="B184" t="s">
        <v>156</v>
      </c>
      <c r="C184" t="s">
        <v>180</v>
      </c>
      <c r="D184" s="1">
        <v>5.0200000000000002E-2</v>
      </c>
    </row>
    <row r="185" spans="1:5">
      <c r="A185" s="29" t="s">
        <v>319</v>
      </c>
      <c r="B185" s="29" t="s">
        <v>156</v>
      </c>
      <c r="C185" s="29" t="s">
        <v>165</v>
      </c>
      <c r="D185" s="30"/>
      <c r="E185" s="30">
        <f>D184*9.05%</f>
        <v>4.5431000000000004E-3</v>
      </c>
    </row>
    <row r="186" spans="1:5">
      <c r="A186" s="29" t="s">
        <v>320</v>
      </c>
      <c r="B186" s="29" t="s">
        <v>321</v>
      </c>
      <c r="C186" s="29" t="s">
        <v>171</v>
      </c>
      <c r="D186" s="30"/>
      <c r="E186" s="30">
        <f>D184*5.33%</f>
        <v>2.6756600000000003E-3</v>
      </c>
    </row>
    <row r="187" spans="1:5">
      <c r="A187" s="29" t="s">
        <v>322</v>
      </c>
      <c r="B187" s="29" t="s">
        <v>156</v>
      </c>
      <c r="C187" s="29" t="s">
        <v>165</v>
      </c>
      <c r="D187" s="30"/>
      <c r="E187" s="30">
        <f>D184*1.6%</f>
        <v>8.0320000000000001E-4</v>
      </c>
    </row>
    <row r="188" spans="1:5">
      <c r="A188" t="s">
        <v>323</v>
      </c>
      <c r="B188" t="s">
        <v>62</v>
      </c>
      <c r="C188" t="s">
        <v>169</v>
      </c>
      <c r="D188" s="1">
        <v>2.7E-2</v>
      </c>
    </row>
    <row r="189" spans="1:5">
      <c r="A189" t="s">
        <v>318</v>
      </c>
      <c r="B189" t="s">
        <v>156</v>
      </c>
      <c r="C189" t="s">
        <v>180</v>
      </c>
      <c r="E189" s="1">
        <v>2.0799999999999999E-2</v>
      </c>
    </row>
    <row r="190" spans="1:5">
      <c r="A190" t="s">
        <v>324</v>
      </c>
      <c r="B190" t="s">
        <v>156</v>
      </c>
      <c r="C190" t="s">
        <v>165</v>
      </c>
      <c r="E190" s="1">
        <v>1.61E-2</v>
      </c>
    </row>
    <row r="191" spans="1:5">
      <c r="A191" t="s">
        <v>325</v>
      </c>
      <c r="B191" t="s">
        <v>158</v>
      </c>
      <c r="C191" t="s">
        <v>167</v>
      </c>
      <c r="E191" s="1">
        <v>1.4500000000000001E-2</v>
      </c>
    </row>
    <row r="192" spans="1:5">
      <c r="A192" t="s">
        <v>326</v>
      </c>
      <c r="B192" t="s">
        <v>35</v>
      </c>
      <c r="C192" t="s">
        <v>165</v>
      </c>
      <c r="E192" s="1">
        <v>1.06E-2</v>
      </c>
    </row>
    <row r="193" spans="1:5">
      <c r="A193" t="s">
        <v>327</v>
      </c>
      <c r="B193" t="s">
        <v>61</v>
      </c>
      <c r="C193" t="s">
        <v>182</v>
      </c>
      <c r="E193" s="1">
        <v>7.1999999999999998E-3</v>
      </c>
    </row>
    <row r="194" spans="1:5">
      <c r="A194" t="s">
        <v>328</v>
      </c>
      <c r="B194" t="s">
        <v>156</v>
      </c>
      <c r="C194" t="s">
        <v>165</v>
      </c>
      <c r="E194" s="1">
        <v>6.1999999999999998E-3</v>
      </c>
    </row>
    <row r="195" spans="1:5">
      <c r="A195" t="s">
        <v>329</v>
      </c>
      <c r="B195" t="s">
        <v>35</v>
      </c>
      <c r="C195" t="s">
        <v>180</v>
      </c>
      <c r="E195" s="1">
        <v>6.1000000000000004E-3</v>
      </c>
    </row>
    <row r="196" spans="1:5">
      <c r="A196" t="s">
        <v>330</v>
      </c>
      <c r="B196" t="s">
        <v>331</v>
      </c>
      <c r="C196" t="s">
        <v>180</v>
      </c>
      <c r="E196" s="1">
        <v>5.8999999999999999E-3</v>
      </c>
    </row>
    <row r="197" spans="1:5">
      <c r="A197" t="s">
        <v>332</v>
      </c>
      <c r="B197" t="s">
        <v>35</v>
      </c>
      <c r="C197" t="s">
        <v>180</v>
      </c>
      <c r="E197" s="1">
        <v>3.8E-3</v>
      </c>
    </row>
    <row r="198" spans="1:5">
      <c r="A198" t="s">
        <v>333</v>
      </c>
      <c r="B198" t="s">
        <v>156</v>
      </c>
      <c r="C198" t="s">
        <v>165</v>
      </c>
      <c r="E198" s="1">
        <v>3.5999999999999999E-3</v>
      </c>
    </row>
    <row r="199" spans="1:5">
      <c r="A199" t="s">
        <v>334</v>
      </c>
      <c r="B199" t="s">
        <v>156</v>
      </c>
      <c r="C199" t="s">
        <v>176</v>
      </c>
      <c r="E199" s="1">
        <v>3.3999999999999998E-3</v>
      </c>
    </row>
    <row r="200" spans="1:5">
      <c r="A200" t="s">
        <v>335</v>
      </c>
      <c r="B200" t="s">
        <v>156</v>
      </c>
      <c r="C200" t="s">
        <v>165</v>
      </c>
      <c r="E200" s="1">
        <v>2.8E-3</v>
      </c>
    </row>
    <row r="201" spans="1:5">
      <c r="A201" t="s">
        <v>336</v>
      </c>
      <c r="B201" t="s">
        <v>35</v>
      </c>
      <c r="C201" t="s">
        <v>182</v>
      </c>
      <c r="E201" s="1">
        <v>2.7000000000000001E-3</v>
      </c>
    </row>
    <row r="202" spans="1:5">
      <c r="A202" t="s">
        <v>337</v>
      </c>
      <c r="B202" t="s">
        <v>39</v>
      </c>
      <c r="C202" t="s">
        <v>180</v>
      </c>
      <c r="E202" s="1">
        <v>2.5999999999999999E-3</v>
      </c>
    </row>
    <row r="203" spans="1:5">
      <c r="A203" t="s">
        <v>297</v>
      </c>
      <c r="B203" t="s">
        <v>156</v>
      </c>
      <c r="C203" t="s">
        <v>176</v>
      </c>
      <c r="E203" s="1">
        <v>2.5999999999999999E-3</v>
      </c>
    </row>
    <row r="204" spans="1:5">
      <c r="A204" t="s">
        <v>306</v>
      </c>
      <c r="B204" t="s">
        <v>67</v>
      </c>
      <c r="C204" t="s">
        <v>180</v>
      </c>
      <c r="E204" s="1">
        <v>2.5999999999999999E-3</v>
      </c>
    </row>
    <row r="205" spans="1:5">
      <c r="A205" t="s">
        <v>338</v>
      </c>
      <c r="B205" t="s">
        <v>39</v>
      </c>
      <c r="C205" t="s">
        <v>180</v>
      </c>
      <c r="E205" s="1">
        <v>2.2000000000000001E-3</v>
      </c>
    </row>
    <row r="206" spans="1:5">
      <c r="A206" t="s">
        <v>339</v>
      </c>
      <c r="B206" t="s">
        <v>35</v>
      </c>
      <c r="C206" t="s">
        <v>165</v>
      </c>
      <c r="E206" s="1">
        <v>2.0999999999999999E-3</v>
      </c>
    </row>
    <row r="207" spans="1:5">
      <c r="A207" t="s">
        <v>340</v>
      </c>
      <c r="B207" t="s">
        <v>156</v>
      </c>
      <c r="C207" t="s">
        <v>180</v>
      </c>
      <c r="E207" s="1">
        <v>2.0999999999999999E-3</v>
      </c>
    </row>
    <row r="208" spans="1:5">
      <c r="A208" t="s">
        <v>308</v>
      </c>
      <c r="B208" t="s">
        <v>39</v>
      </c>
      <c r="C208" t="s">
        <v>180</v>
      </c>
      <c r="E208" s="1">
        <v>2.0999999999999999E-3</v>
      </c>
    </row>
    <row r="209" spans="1:5">
      <c r="A209" t="s">
        <v>234</v>
      </c>
      <c r="B209" t="s">
        <v>35</v>
      </c>
      <c r="C209" t="s">
        <v>198</v>
      </c>
      <c r="D209" s="1">
        <v>2.0999999999999999E-3</v>
      </c>
    </row>
    <row r="210" spans="1:5">
      <c r="A210" t="s">
        <v>341</v>
      </c>
      <c r="B210" t="s">
        <v>156</v>
      </c>
      <c r="C210" t="s">
        <v>165</v>
      </c>
      <c r="E210" s="1">
        <v>1.8E-3</v>
      </c>
    </row>
    <row r="211" spans="1:5">
      <c r="A211" t="s">
        <v>342</v>
      </c>
      <c r="B211" t="s">
        <v>156</v>
      </c>
      <c r="C211" t="s">
        <v>171</v>
      </c>
      <c r="E211" s="1">
        <v>1.6999999999999999E-3</v>
      </c>
    </row>
    <row r="212" spans="1:5">
      <c r="A212" t="s">
        <v>343</v>
      </c>
      <c r="B212" t="s">
        <v>157</v>
      </c>
      <c r="C212" t="s">
        <v>171</v>
      </c>
      <c r="E212" s="1">
        <v>1.6000000000000001E-3</v>
      </c>
    </row>
    <row r="213" spans="1:5">
      <c r="A213" t="s">
        <v>344</v>
      </c>
      <c r="B213" t="s">
        <v>156</v>
      </c>
      <c r="C213" t="s">
        <v>165</v>
      </c>
      <c r="E213" s="1">
        <v>1.6000000000000001E-3</v>
      </c>
    </row>
    <row r="214" spans="1:5">
      <c r="A214" t="s">
        <v>345</v>
      </c>
      <c r="B214" t="s">
        <v>346</v>
      </c>
      <c r="C214" t="s">
        <v>176</v>
      </c>
      <c r="E214" s="1">
        <v>1.5E-3</v>
      </c>
    </row>
    <row r="215" spans="1:5">
      <c r="A215" t="s">
        <v>347</v>
      </c>
      <c r="B215" t="s">
        <v>39</v>
      </c>
      <c r="C215" t="s">
        <v>182</v>
      </c>
      <c r="E215" s="1">
        <v>1.4E-3</v>
      </c>
    </row>
    <row r="216" spans="1:5">
      <c r="A216" t="s">
        <v>348</v>
      </c>
      <c r="B216" t="s">
        <v>156</v>
      </c>
      <c r="C216" t="s">
        <v>171</v>
      </c>
      <c r="E216" s="1">
        <v>1.4E-3</v>
      </c>
    </row>
    <row r="217" spans="1:5">
      <c r="A217" t="s">
        <v>349</v>
      </c>
      <c r="B217" t="s">
        <v>156</v>
      </c>
      <c r="C217" t="s">
        <v>182</v>
      </c>
      <c r="E217" s="1">
        <v>1.4E-3</v>
      </c>
    </row>
    <row r="218" spans="1:5">
      <c r="A218" t="s">
        <v>350</v>
      </c>
      <c r="B218" t="s">
        <v>156</v>
      </c>
      <c r="C218" t="s">
        <v>176</v>
      </c>
      <c r="E218" s="1">
        <v>1.4E-3</v>
      </c>
    </row>
    <row r="219" spans="1:5">
      <c r="A219" t="s">
        <v>351</v>
      </c>
      <c r="B219" t="s">
        <v>156</v>
      </c>
      <c r="C219" t="s">
        <v>180</v>
      </c>
      <c r="E219" s="1">
        <v>1.2999999999999999E-3</v>
      </c>
    </row>
    <row r="220" spans="1:5">
      <c r="A220" t="s">
        <v>352</v>
      </c>
      <c r="B220" t="s">
        <v>61</v>
      </c>
      <c r="C220" t="s">
        <v>176</v>
      </c>
      <c r="E220" s="1">
        <v>1.1999999999999999E-3</v>
      </c>
    </row>
    <row r="221" spans="1:5">
      <c r="A221" t="s">
        <v>353</v>
      </c>
      <c r="B221" t="s">
        <v>61</v>
      </c>
      <c r="C221" t="s">
        <v>171</v>
      </c>
      <c r="E221" s="1">
        <v>1.1999999999999999E-3</v>
      </c>
    </row>
    <row r="222" spans="1:5">
      <c r="A222" t="s">
        <v>299</v>
      </c>
      <c r="B222" t="s">
        <v>156</v>
      </c>
      <c r="C222" t="s">
        <v>167</v>
      </c>
      <c r="E222" s="1">
        <v>1.1999999999999999E-3</v>
      </c>
    </row>
    <row r="223" spans="1:5">
      <c r="A223" t="s">
        <v>354</v>
      </c>
      <c r="B223" t="s">
        <v>67</v>
      </c>
      <c r="C223" t="s">
        <v>180</v>
      </c>
      <c r="E223" s="1">
        <v>1.1999999999999999E-3</v>
      </c>
    </row>
    <row r="224" spans="1:5">
      <c r="A224" t="s">
        <v>355</v>
      </c>
      <c r="B224" t="s">
        <v>157</v>
      </c>
      <c r="C224" t="s">
        <v>182</v>
      </c>
      <c r="E224" s="1">
        <v>1.1000000000000001E-3</v>
      </c>
    </row>
    <row r="225" spans="1:5">
      <c r="A225" t="s">
        <v>356</v>
      </c>
      <c r="B225" t="s">
        <v>156</v>
      </c>
      <c r="C225" t="s">
        <v>180</v>
      </c>
      <c r="E225" s="1">
        <v>1.1000000000000001E-3</v>
      </c>
    </row>
    <row r="226" spans="1:5">
      <c r="A226" t="s">
        <v>357</v>
      </c>
      <c r="B226" t="s">
        <v>346</v>
      </c>
      <c r="C226" t="s">
        <v>180</v>
      </c>
      <c r="E226" s="1">
        <v>1.1000000000000001E-3</v>
      </c>
    </row>
    <row r="227" spans="1:5">
      <c r="A227" t="s">
        <v>358</v>
      </c>
      <c r="B227" t="s">
        <v>67</v>
      </c>
      <c r="C227" t="s">
        <v>180</v>
      </c>
      <c r="E227" s="1">
        <v>1E-3</v>
      </c>
    </row>
    <row r="228" spans="1:5">
      <c r="A228" t="s">
        <v>359</v>
      </c>
      <c r="B228" t="s">
        <v>304</v>
      </c>
      <c r="C228" t="s">
        <v>165</v>
      </c>
      <c r="E228" s="1">
        <v>1E-3</v>
      </c>
    </row>
    <row r="229" spans="1:5">
      <c r="A229" t="s">
        <v>360</v>
      </c>
      <c r="B229" t="s">
        <v>69</v>
      </c>
      <c r="C229" t="s">
        <v>167</v>
      </c>
      <c r="E229" s="1">
        <v>1E-3</v>
      </c>
    </row>
    <row r="230" spans="1:5">
      <c r="A230" s="69" t="s">
        <v>156</v>
      </c>
      <c r="B230" s="69"/>
      <c r="C230" s="69"/>
      <c r="D230" s="70">
        <f>D184</f>
        <v>5.0200000000000002E-2</v>
      </c>
      <c r="E230" s="70">
        <f>SUM(E185,E187,E189:E190,E194,E198:E200,E203,E207,E210:E211,E213,E216:E219,E222,E225,)</f>
        <v>7.5846299999999992E-2</v>
      </c>
    </row>
    <row r="231" spans="1:5">
      <c r="A231" s="69" t="s">
        <v>206</v>
      </c>
      <c r="B231" s="69"/>
      <c r="C231" s="69"/>
      <c r="D231" s="70">
        <v>0</v>
      </c>
      <c r="E231" s="70">
        <f>E193+E220+E221</f>
        <v>9.5999999999999992E-3</v>
      </c>
    </row>
    <row r="232" spans="1:5">
      <c r="A232" s="69" t="s">
        <v>157</v>
      </c>
      <c r="B232" s="69"/>
      <c r="C232" s="69"/>
      <c r="D232" s="70">
        <v>0</v>
      </c>
      <c r="E232" s="70">
        <f>E224+E212</f>
        <v>2.7000000000000001E-3</v>
      </c>
    </row>
    <row r="233" spans="1:5">
      <c r="A233" s="69" t="s">
        <v>207</v>
      </c>
      <c r="B233" s="69"/>
      <c r="C233" s="69"/>
      <c r="D233" s="70">
        <v>0</v>
      </c>
      <c r="E233" s="70">
        <f>E227+E223+E204</f>
        <v>4.7999999999999996E-3</v>
      </c>
    </row>
    <row r="234" spans="1:5">
      <c r="A234" s="69" t="s">
        <v>208</v>
      </c>
      <c r="B234" s="69"/>
      <c r="C234" s="69"/>
      <c r="D234" s="70">
        <v>0</v>
      </c>
      <c r="E234" s="70">
        <f>E191</f>
        <v>1.4500000000000001E-2</v>
      </c>
    </row>
    <row r="235" spans="1:5">
      <c r="A235" t="s">
        <v>209</v>
      </c>
      <c r="D235" s="1">
        <f>D184</f>
        <v>5.0200000000000002E-2</v>
      </c>
      <c r="E235" s="1">
        <f>SUM(E189:E191,E193:E194,E198:E200,E203:E204,E207,E210:E214,E216:E219,E220:E228,E185:E187)</f>
        <v>0.11372196000000004</v>
      </c>
    </row>
    <row r="236" spans="1:5">
      <c r="A236" t="s">
        <v>150</v>
      </c>
      <c r="D236" s="1">
        <f>SUM(D181:D229)</f>
        <v>0.95930000000000004</v>
      </c>
      <c r="E236" s="1">
        <f>SUM(E181:E229)</f>
        <v>0.15422196000000002</v>
      </c>
    </row>
    <row r="237" spans="1:5" ht="26.45" customHeight="1"/>
    <row r="238" spans="1:5">
      <c r="A238" t="s">
        <v>361</v>
      </c>
    </row>
    <row r="239" spans="1:5">
      <c r="A239" t="s">
        <v>362</v>
      </c>
      <c r="B239" t="s">
        <v>39</v>
      </c>
      <c r="C239" t="s">
        <v>165</v>
      </c>
      <c r="D239" s="1">
        <v>0.3609</v>
      </c>
    </row>
    <row r="240" spans="1:5">
      <c r="A240" s="29" t="s">
        <v>363</v>
      </c>
      <c r="B240" s="29" t="s">
        <v>39</v>
      </c>
      <c r="C240" s="29" t="s">
        <v>165</v>
      </c>
      <c r="D240" s="30"/>
      <c r="E240" s="30">
        <f>D239*100%</f>
        <v>0.3609</v>
      </c>
    </row>
    <row r="241" spans="1:5">
      <c r="A241" t="s">
        <v>364</v>
      </c>
      <c r="B241" t="s">
        <v>39</v>
      </c>
      <c r="C241" t="s">
        <v>165</v>
      </c>
      <c r="D241" s="1">
        <v>0.3609</v>
      </c>
    </row>
    <row r="242" spans="1:5">
      <c r="A242" s="29" t="s">
        <v>365</v>
      </c>
      <c r="B242" s="29" t="s">
        <v>39</v>
      </c>
      <c r="C242" s="29" t="s">
        <v>165</v>
      </c>
      <c r="D242" s="30"/>
      <c r="E242" s="30">
        <f>D241*100%</f>
        <v>0.3609</v>
      </c>
    </row>
    <row r="243" spans="1:5">
      <c r="A243" t="s">
        <v>366</v>
      </c>
      <c r="B243" t="s">
        <v>39</v>
      </c>
      <c r="C243" t="s">
        <v>165</v>
      </c>
      <c r="D243" s="1">
        <v>0.27789999999999998</v>
      </c>
    </row>
    <row r="244" spans="1:5">
      <c r="A244" s="29" t="s">
        <v>367</v>
      </c>
      <c r="B244" s="29" t="s">
        <v>39</v>
      </c>
      <c r="C244" s="29" t="s">
        <v>165</v>
      </c>
      <c r="D244" s="30"/>
      <c r="E244" s="30">
        <f>D243*100%</f>
        <v>0.27789999999999998</v>
      </c>
    </row>
    <row r="245" spans="1:5">
      <c r="A245" s="69" t="s">
        <v>156</v>
      </c>
      <c r="B245" s="69"/>
      <c r="C245" s="69"/>
      <c r="D245" s="70">
        <v>0</v>
      </c>
      <c r="E245" s="70">
        <v>0</v>
      </c>
    </row>
    <row r="246" spans="1:5">
      <c r="A246" s="69" t="s">
        <v>206</v>
      </c>
      <c r="B246" s="69"/>
      <c r="C246" s="69"/>
      <c r="D246" s="70">
        <v>0</v>
      </c>
      <c r="E246" s="70">
        <v>0</v>
      </c>
    </row>
    <row r="247" spans="1:5">
      <c r="A247" s="69" t="s">
        <v>157</v>
      </c>
      <c r="B247" s="69"/>
      <c r="C247" s="69"/>
      <c r="D247" s="70">
        <v>0</v>
      </c>
      <c r="E247" s="70">
        <v>0</v>
      </c>
    </row>
    <row r="248" spans="1:5">
      <c r="A248" s="69" t="s">
        <v>207</v>
      </c>
      <c r="B248" s="69"/>
      <c r="C248" s="69"/>
      <c r="D248" s="70">
        <v>0</v>
      </c>
      <c r="E248" s="70">
        <v>0</v>
      </c>
    </row>
    <row r="249" spans="1:5">
      <c r="A249" s="69" t="s">
        <v>208</v>
      </c>
      <c r="B249" s="69"/>
      <c r="C249" s="69"/>
      <c r="D249" s="70">
        <v>0</v>
      </c>
      <c r="E249" s="70">
        <v>0</v>
      </c>
    </row>
    <row r="250" spans="1:5">
      <c r="A250" t="s">
        <v>209</v>
      </c>
      <c r="D250" s="1">
        <v>0</v>
      </c>
      <c r="E250" s="1">
        <v>0</v>
      </c>
    </row>
    <row r="251" spans="1:5">
      <c r="A251" t="s">
        <v>150</v>
      </c>
      <c r="D251" s="1">
        <f>SUM(D239:D244)</f>
        <v>0.99970000000000003</v>
      </c>
      <c r="E251" s="1">
        <f>SUM(E239:E244)</f>
        <v>0.99970000000000003</v>
      </c>
    </row>
    <row r="253" spans="1:5">
      <c r="A253" t="s">
        <v>58</v>
      </c>
    </row>
    <row r="254" spans="1:5">
      <c r="A254" t="s">
        <v>261</v>
      </c>
      <c r="B254" t="s">
        <v>47</v>
      </c>
      <c r="C254" t="s">
        <v>262</v>
      </c>
      <c r="D254" s="1">
        <v>0.43</v>
      </c>
    </row>
    <row r="255" spans="1:5">
      <c r="A255" t="s">
        <v>85</v>
      </c>
      <c r="B255" t="s">
        <v>47</v>
      </c>
      <c r="C255" t="s">
        <v>165</v>
      </c>
      <c r="D255" s="1">
        <v>0.29630000000000001</v>
      </c>
    </row>
    <row r="256" spans="1:5">
      <c r="A256" s="29" t="s">
        <v>368</v>
      </c>
      <c r="B256" s="29" t="s">
        <v>47</v>
      </c>
      <c r="C256" s="29" t="s">
        <v>167</v>
      </c>
      <c r="D256" s="30"/>
      <c r="E256" s="30">
        <f>D255*30.2%</f>
        <v>8.9482599999999995E-2</v>
      </c>
    </row>
    <row r="257" spans="1:5">
      <c r="A257" s="29" t="s">
        <v>369</v>
      </c>
      <c r="B257" s="29" t="s">
        <v>156</v>
      </c>
      <c r="C257" s="29" t="s">
        <v>176</v>
      </c>
      <c r="D257" s="30"/>
      <c r="E257" s="30">
        <f>D255*3.6%</f>
        <v>1.0666800000000002E-2</v>
      </c>
    </row>
    <row r="258" spans="1:5">
      <c r="A258" s="29" t="s">
        <v>370</v>
      </c>
      <c r="B258" s="29" t="s">
        <v>158</v>
      </c>
      <c r="C258" s="29" t="s">
        <v>180</v>
      </c>
      <c r="D258" s="30"/>
      <c r="E258" s="30">
        <f>D255*1.52%</f>
        <v>4.5037599999999999E-3</v>
      </c>
    </row>
    <row r="259" spans="1:5">
      <c r="A259" s="29" t="s">
        <v>371</v>
      </c>
      <c r="B259" s="29" t="s">
        <v>47</v>
      </c>
      <c r="C259" s="29" t="s">
        <v>180</v>
      </c>
      <c r="D259" s="30"/>
      <c r="E259" s="30">
        <f>D255*1.01%</f>
        <v>2.99263E-3</v>
      </c>
    </row>
    <row r="260" spans="1:5">
      <c r="A260" s="29" t="s">
        <v>372</v>
      </c>
      <c r="B260" s="29" t="s">
        <v>156</v>
      </c>
      <c r="C260" s="29" t="s">
        <v>176</v>
      </c>
      <c r="D260" s="30"/>
      <c r="E260" s="30">
        <f>D255*0.99%</f>
        <v>2.9333699999999998E-3</v>
      </c>
    </row>
    <row r="261" spans="1:5">
      <c r="A261" s="29" t="s">
        <v>373</v>
      </c>
      <c r="B261" s="29" t="s">
        <v>157</v>
      </c>
      <c r="C261" s="29" t="s">
        <v>171</v>
      </c>
      <c r="D261" s="30"/>
      <c r="E261" s="30">
        <f>D255*0.88%</f>
        <v>2.6074400000000004E-3</v>
      </c>
    </row>
    <row r="262" spans="1:5">
      <c r="A262" s="29" t="s">
        <v>374</v>
      </c>
      <c r="B262" s="29" t="s">
        <v>157</v>
      </c>
      <c r="C262" s="29" t="s">
        <v>193</v>
      </c>
      <c r="D262" s="30"/>
      <c r="E262" s="30">
        <f>D255*0.82%</f>
        <v>2.4296599999999997E-3</v>
      </c>
    </row>
    <row r="263" spans="1:5">
      <c r="A263" s="29" t="s">
        <v>375</v>
      </c>
      <c r="B263" s="29" t="s">
        <v>156</v>
      </c>
      <c r="C263" s="29" t="s">
        <v>165</v>
      </c>
      <c r="D263" s="30"/>
      <c r="E263" s="30">
        <f>D255*0.69%</f>
        <v>2.0444700000000001E-3</v>
      </c>
    </row>
    <row r="264" spans="1:5">
      <c r="A264" s="29" t="s">
        <v>376</v>
      </c>
      <c r="B264" s="29" t="s">
        <v>156</v>
      </c>
      <c r="C264" s="29" t="s">
        <v>165</v>
      </c>
      <c r="D264" s="30"/>
      <c r="E264" s="30">
        <f>D255*0.63%</f>
        <v>1.8666900000000001E-3</v>
      </c>
    </row>
    <row r="265" spans="1:5">
      <c r="A265" s="29" t="s">
        <v>377</v>
      </c>
      <c r="B265" s="29" t="s">
        <v>157</v>
      </c>
      <c r="C265" s="29" t="s">
        <v>165</v>
      </c>
      <c r="D265" s="30"/>
      <c r="E265" s="30">
        <f>D255*0.62%</f>
        <v>1.83706E-3</v>
      </c>
    </row>
    <row r="266" spans="1:5">
      <c r="A266" s="29" t="s">
        <v>378</v>
      </c>
      <c r="B266" s="29" t="s">
        <v>35</v>
      </c>
      <c r="C266" s="29" t="s">
        <v>171</v>
      </c>
      <c r="D266" s="30"/>
      <c r="E266" s="30">
        <f>D255*0.59%</f>
        <v>1.7481700000000001E-3</v>
      </c>
    </row>
    <row r="267" spans="1:5">
      <c r="A267" s="29" t="s">
        <v>379</v>
      </c>
      <c r="B267" s="29" t="s">
        <v>156</v>
      </c>
      <c r="C267" s="29" t="s">
        <v>171</v>
      </c>
      <c r="D267" s="30"/>
      <c r="E267" s="30">
        <f>D255*0.57%</f>
        <v>1.6889099999999998E-3</v>
      </c>
    </row>
    <row r="268" spans="1:5">
      <c r="A268" s="29" t="s">
        <v>185</v>
      </c>
      <c r="B268" s="29" t="s">
        <v>157</v>
      </c>
      <c r="C268" s="29" t="s">
        <v>171</v>
      </c>
      <c r="D268" s="30"/>
      <c r="E268" s="30">
        <f>D255*0.54%</f>
        <v>1.6000200000000002E-3</v>
      </c>
    </row>
    <row r="269" spans="1:5">
      <c r="A269" s="29" t="s">
        <v>234</v>
      </c>
      <c r="B269" s="29" t="s">
        <v>62</v>
      </c>
      <c r="C269" s="29" t="s">
        <v>198</v>
      </c>
      <c r="D269" s="30"/>
      <c r="E269" s="30">
        <f>D255*0.5%</f>
        <v>1.4815000000000002E-3</v>
      </c>
    </row>
    <row r="270" spans="1:5">
      <c r="A270" s="29" t="s">
        <v>380</v>
      </c>
      <c r="B270" s="29" t="s">
        <v>157</v>
      </c>
      <c r="C270" s="29" t="s">
        <v>171</v>
      </c>
      <c r="D270" s="30"/>
      <c r="E270" s="30">
        <f>D255*0.47%</f>
        <v>1.3926099999999999E-3</v>
      </c>
    </row>
    <row r="271" spans="1:5">
      <c r="A271" t="s">
        <v>381</v>
      </c>
      <c r="B271" t="s">
        <v>47</v>
      </c>
      <c r="C271" t="s">
        <v>165</v>
      </c>
      <c r="D271" s="1">
        <v>5.67E-2</v>
      </c>
    </row>
    <row r="272" spans="1:5">
      <c r="A272" s="29" t="s">
        <v>382</v>
      </c>
      <c r="B272" s="29" t="s">
        <v>47</v>
      </c>
      <c r="C272" s="29" t="s">
        <v>211</v>
      </c>
      <c r="D272" s="30"/>
      <c r="E272" s="30">
        <f>D271*49%</f>
        <v>2.7782999999999999E-2</v>
      </c>
    </row>
    <row r="273" spans="1:5">
      <c r="A273" s="29" t="s">
        <v>383</v>
      </c>
      <c r="B273" s="29" t="s">
        <v>47</v>
      </c>
      <c r="C273" s="29" t="s">
        <v>211</v>
      </c>
      <c r="D273" s="30"/>
      <c r="E273" s="30">
        <f>D271*49%</f>
        <v>2.7782999999999999E-2</v>
      </c>
    </row>
    <row r="274" spans="1:5">
      <c r="A274" s="29" t="s">
        <v>384</v>
      </c>
      <c r="B274" s="29" t="s">
        <v>47</v>
      </c>
      <c r="C274" s="29" t="s">
        <v>211</v>
      </c>
      <c r="D274" s="30"/>
      <c r="E274" s="30">
        <f>D271*2%</f>
        <v>1.134E-3</v>
      </c>
    </row>
    <row r="275" spans="1:5">
      <c r="A275" t="s">
        <v>385</v>
      </c>
      <c r="B275" t="s">
        <v>44</v>
      </c>
      <c r="C275" t="s">
        <v>165</v>
      </c>
      <c r="D275" s="1">
        <v>5.0200000000000002E-2</v>
      </c>
    </row>
    <row r="276" spans="1:5">
      <c r="A276" s="29" t="s">
        <v>386</v>
      </c>
      <c r="B276" s="29" t="s">
        <v>44</v>
      </c>
      <c r="C276" s="29" t="s">
        <v>165</v>
      </c>
      <c r="D276" s="30"/>
      <c r="E276" s="30">
        <f>D275*99.99%</f>
        <v>5.0194979999999993E-2</v>
      </c>
    </row>
    <row r="277" spans="1:5">
      <c r="A277" t="s">
        <v>386</v>
      </c>
      <c r="B277" t="s">
        <v>44</v>
      </c>
      <c r="C277" t="s">
        <v>165</v>
      </c>
      <c r="E277" s="1">
        <v>5.0200000000000002E-2</v>
      </c>
    </row>
    <row r="278" spans="1:5">
      <c r="A278" t="s">
        <v>234</v>
      </c>
      <c r="B278" t="s">
        <v>47</v>
      </c>
      <c r="C278" t="s">
        <v>198</v>
      </c>
      <c r="D278" s="1">
        <v>4.19E-2</v>
      </c>
    </row>
    <row r="279" spans="1:5">
      <c r="A279" t="s">
        <v>387</v>
      </c>
      <c r="B279" t="s">
        <v>47</v>
      </c>
      <c r="C279" t="s">
        <v>165</v>
      </c>
      <c r="D279" s="1">
        <v>4.0800000000000003E-2</v>
      </c>
    </row>
    <row r="280" spans="1:5">
      <c r="A280" s="29" t="s">
        <v>388</v>
      </c>
      <c r="B280" s="29" t="s">
        <v>47</v>
      </c>
      <c r="C280" s="29" t="s">
        <v>165</v>
      </c>
      <c r="D280" s="30"/>
      <c r="E280" s="30">
        <f>D279*23.15%</f>
        <v>9.4452000000000008E-3</v>
      </c>
    </row>
    <row r="281" spans="1:5">
      <c r="A281" s="29" t="s">
        <v>389</v>
      </c>
      <c r="B281" s="29" t="s">
        <v>47</v>
      </c>
      <c r="C281" s="29" t="s">
        <v>165</v>
      </c>
      <c r="D281" s="30"/>
      <c r="E281" s="30">
        <f>D279*23.15%</f>
        <v>9.4452000000000008E-3</v>
      </c>
    </row>
    <row r="282" spans="1:5">
      <c r="A282" s="29" t="s">
        <v>390</v>
      </c>
      <c r="B282" s="29" t="s">
        <v>47</v>
      </c>
      <c r="C282" s="29" t="s">
        <v>165</v>
      </c>
      <c r="D282" s="30"/>
      <c r="E282" s="30">
        <f>D279*23.15%</f>
        <v>9.4452000000000008E-3</v>
      </c>
    </row>
    <row r="283" spans="1:5">
      <c r="A283" s="29" t="s">
        <v>391</v>
      </c>
      <c r="B283" s="29" t="s">
        <v>113</v>
      </c>
      <c r="C283" s="29" t="s">
        <v>176</v>
      </c>
      <c r="D283" s="30"/>
      <c r="E283" s="30">
        <f>D279*23.13%</f>
        <v>9.437039999999999E-3</v>
      </c>
    </row>
    <row r="284" spans="1:5">
      <c r="A284" s="29" t="s">
        <v>392</v>
      </c>
      <c r="B284" s="29" t="s">
        <v>47</v>
      </c>
      <c r="C284" s="29" t="s">
        <v>211</v>
      </c>
      <c r="D284" s="30"/>
      <c r="E284" s="30">
        <f>D279*6.16%</f>
        <v>2.5132800000000001E-3</v>
      </c>
    </row>
    <row r="285" spans="1:5">
      <c r="A285" s="29" t="s">
        <v>393</v>
      </c>
      <c r="B285" s="29" t="s">
        <v>47</v>
      </c>
      <c r="C285" s="29" t="s">
        <v>211</v>
      </c>
      <c r="D285" s="30"/>
      <c r="E285" s="30">
        <f>D279*1.26%</f>
        <v>5.1408000000000009E-4</v>
      </c>
    </row>
    <row r="286" spans="1:5">
      <c r="A286" t="s">
        <v>394</v>
      </c>
      <c r="B286" t="s">
        <v>47</v>
      </c>
      <c r="C286" t="s">
        <v>165</v>
      </c>
      <c r="D286" s="1">
        <v>4.07E-2</v>
      </c>
    </row>
    <row r="287" spans="1:5">
      <c r="A287" s="29" t="s">
        <v>395</v>
      </c>
      <c r="B287" s="29" t="s">
        <v>47</v>
      </c>
      <c r="C287" s="29" t="s">
        <v>211</v>
      </c>
      <c r="D287" s="30"/>
      <c r="E287" s="30">
        <f>D286*96.57%</f>
        <v>3.9303989999999997E-2</v>
      </c>
    </row>
    <row r="288" spans="1:5">
      <c r="A288" t="s">
        <v>396</v>
      </c>
      <c r="B288" t="s">
        <v>113</v>
      </c>
      <c r="C288" t="s">
        <v>165</v>
      </c>
      <c r="D288" s="1">
        <v>3.7900000000000003E-2</v>
      </c>
    </row>
    <row r="289" spans="1:5">
      <c r="A289" s="29" t="s">
        <v>316</v>
      </c>
      <c r="B289" s="29" t="s">
        <v>47</v>
      </c>
      <c r="C289" s="29" t="s">
        <v>211</v>
      </c>
      <c r="D289" s="30"/>
      <c r="E289" s="30">
        <f>D288*87.5%</f>
        <v>3.3162500000000004E-2</v>
      </c>
    </row>
    <row r="290" spans="1:5">
      <c r="A290" s="29" t="s">
        <v>397</v>
      </c>
      <c r="B290" s="29" t="s">
        <v>156</v>
      </c>
      <c r="C290" s="29" t="s">
        <v>165</v>
      </c>
      <c r="D290" s="30"/>
      <c r="E290" s="30">
        <f>D288*12.5%</f>
        <v>4.7375000000000004E-3</v>
      </c>
    </row>
    <row r="291" spans="1:5">
      <c r="A291" t="s">
        <v>398</v>
      </c>
      <c r="B291" t="s">
        <v>47</v>
      </c>
      <c r="C291" t="s">
        <v>180</v>
      </c>
      <c r="E291" s="1">
        <v>1.9300000000000001E-2</v>
      </c>
    </row>
    <row r="292" spans="1:5">
      <c r="A292" t="s">
        <v>298</v>
      </c>
      <c r="B292" t="s">
        <v>156</v>
      </c>
      <c r="C292" t="s">
        <v>165</v>
      </c>
      <c r="E292" s="1">
        <v>1.7299999999999999E-2</v>
      </c>
    </row>
    <row r="293" spans="1:5">
      <c r="A293" t="s">
        <v>399</v>
      </c>
      <c r="B293" t="s">
        <v>35</v>
      </c>
      <c r="C293" t="s">
        <v>165</v>
      </c>
      <c r="E293" s="1">
        <v>1.7100000000000001E-2</v>
      </c>
    </row>
    <row r="294" spans="1:5">
      <c r="A294" t="s">
        <v>339</v>
      </c>
      <c r="B294" t="s">
        <v>35</v>
      </c>
      <c r="C294" t="s">
        <v>165</v>
      </c>
      <c r="E294" s="1">
        <v>1.5900000000000001E-2</v>
      </c>
    </row>
    <row r="295" spans="1:5">
      <c r="A295" t="s">
        <v>400</v>
      </c>
      <c r="B295" t="s">
        <v>47</v>
      </c>
      <c r="C295" t="s">
        <v>180</v>
      </c>
      <c r="E295" s="1">
        <v>1.0500000000000001E-2</v>
      </c>
    </row>
    <row r="296" spans="1:5">
      <c r="A296" t="s">
        <v>329</v>
      </c>
      <c r="B296" t="s">
        <v>35</v>
      </c>
      <c r="C296" t="s">
        <v>180</v>
      </c>
      <c r="E296" s="1">
        <v>5.7000000000000002E-3</v>
      </c>
    </row>
    <row r="297" spans="1:5">
      <c r="A297" t="s">
        <v>401</v>
      </c>
      <c r="B297" t="s">
        <v>156</v>
      </c>
      <c r="C297" t="s">
        <v>171</v>
      </c>
      <c r="E297" s="1">
        <v>5.5999999999999999E-3</v>
      </c>
    </row>
    <row r="298" spans="1:5">
      <c r="A298" t="s">
        <v>347</v>
      </c>
      <c r="B298" t="s">
        <v>39</v>
      </c>
      <c r="C298" t="s">
        <v>182</v>
      </c>
      <c r="E298" s="1">
        <v>5.1999999999999998E-3</v>
      </c>
    </row>
    <row r="299" spans="1:5">
      <c r="A299" t="s">
        <v>402</v>
      </c>
      <c r="B299" t="s">
        <v>403</v>
      </c>
      <c r="C299" t="s">
        <v>176</v>
      </c>
      <c r="E299" s="1">
        <v>4.5999999999999999E-3</v>
      </c>
    </row>
    <row r="300" spans="1:5">
      <c r="A300" t="s">
        <v>404</v>
      </c>
      <c r="B300" t="s">
        <v>47</v>
      </c>
      <c r="C300" t="s">
        <v>180</v>
      </c>
      <c r="E300" s="1">
        <v>4.1000000000000003E-3</v>
      </c>
    </row>
    <row r="301" spans="1:5">
      <c r="A301" t="s">
        <v>405</v>
      </c>
      <c r="B301" t="s">
        <v>47</v>
      </c>
      <c r="C301" t="s">
        <v>180</v>
      </c>
      <c r="E301" s="1">
        <v>2.5000000000000001E-3</v>
      </c>
    </row>
    <row r="302" spans="1:5">
      <c r="A302" t="s">
        <v>406</v>
      </c>
      <c r="B302" t="s">
        <v>47</v>
      </c>
      <c r="C302" t="s">
        <v>176</v>
      </c>
      <c r="E302" s="1">
        <v>1.4E-3</v>
      </c>
    </row>
    <row r="303" spans="1:5">
      <c r="A303" t="s">
        <v>407</v>
      </c>
      <c r="B303" t="s">
        <v>156</v>
      </c>
      <c r="C303" t="s">
        <v>180</v>
      </c>
      <c r="E303" s="1">
        <v>1.1999999999999999E-3</v>
      </c>
    </row>
    <row r="304" spans="1:5">
      <c r="A304" t="s">
        <v>408</v>
      </c>
      <c r="B304" t="s">
        <v>156</v>
      </c>
      <c r="C304" t="s">
        <v>180</v>
      </c>
      <c r="E304" s="1">
        <v>1.1000000000000001E-3</v>
      </c>
    </row>
    <row r="305" spans="1:5">
      <c r="A305" s="69" t="s">
        <v>156</v>
      </c>
      <c r="B305" s="69"/>
      <c r="C305" s="69"/>
      <c r="D305" s="70">
        <v>0</v>
      </c>
      <c r="E305" s="70">
        <f>SUM(E303:E304,E297,E292,E290,E267,E263:E264,E260)</f>
        <v>3.8470939999999995E-2</v>
      </c>
    </row>
    <row r="306" spans="1:5">
      <c r="A306" s="69" t="s">
        <v>206</v>
      </c>
      <c r="B306" s="69"/>
      <c r="C306" s="69"/>
      <c r="D306" s="70">
        <v>0</v>
      </c>
      <c r="E306" s="70">
        <v>0</v>
      </c>
    </row>
    <row r="307" spans="1:5">
      <c r="A307" s="69" t="s">
        <v>157</v>
      </c>
      <c r="B307" s="69"/>
      <c r="C307" s="69"/>
      <c r="D307" s="70">
        <v>0</v>
      </c>
      <c r="E307" s="70">
        <f>SUM(E270,E268,E265,E261:E262)</f>
        <v>9.8667900000000003E-3</v>
      </c>
    </row>
    <row r="308" spans="1:5">
      <c r="A308" s="69" t="s">
        <v>207</v>
      </c>
      <c r="B308" s="69"/>
      <c r="C308" s="69"/>
      <c r="D308" s="70">
        <v>0</v>
      </c>
      <c r="E308" s="70">
        <v>0</v>
      </c>
    </row>
    <row r="309" spans="1:5">
      <c r="A309" s="69" t="s">
        <v>208</v>
      </c>
      <c r="B309" s="69"/>
      <c r="C309" s="69"/>
      <c r="D309" s="70">
        <v>0</v>
      </c>
      <c r="E309" s="70">
        <f>E258</f>
        <v>4.5037599999999999E-3</v>
      </c>
    </row>
    <row r="310" spans="1:5">
      <c r="A310" t="s">
        <v>209</v>
      </c>
      <c r="D310" s="1">
        <f>0</f>
        <v>0</v>
      </c>
      <c r="E310" s="1">
        <f>E292+E297+E303+E304+E290+E270+E268+E267+E265+E264+E263+E262+E263+E261+E260+E258+E257</f>
        <v>6.5552760000000002E-2</v>
      </c>
    </row>
    <row r="311" spans="1:5">
      <c r="A311" t="s">
        <v>150</v>
      </c>
      <c r="D311" s="1">
        <f>SUM(D254:D304)</f>
        <v>0.99449999999999994</v>
      </c>
      <c r="E311" s="1">
        <f>SUM(E254:E304)</f>
        <v>0.51587465999999993</v>
      </c>
    </row>
    <row r="313" spans="1:5">
      <c r="A313" t="s">
        <v>409</v>
      </c>
    </row>
    <row r="314" spans="1:5">
      <c r="A314" t="s">
        <v>410</v>
      </c>
      <c r="B314" t="s">
        <v>61</v>
      </c>
      <c r="C314" t="s">
        <v>165</v>
      </c>
      <c r="D314" s="1">
        <v>1</v>
      </c>
      <c r="E314" s="1">
        <v>1</v>
      </c>
    </row>
    <row r="315" spans="1:5">
      <c r="A315" s="69" t="s">
        <v>156</v>
      </c>
      <c r="B315" s="69"/>
      <c r="C315" s="69"/>
      <c r="D315" s="70">
        <v>0</v>
      </c>
      <c r="E315" s="70">
        <v>0</v>
      </c>
    </row>
    <row r="316" spans="1:5">
      <c r="A316" s="69" t="s">
        <v>206</v>
      </c>
      <c r="B316" s="69"/>
      <c r="C316" s="69"/>
      <c r="D316" s="70">
        <f>D314</f>
        <v>1</v>
      </c>
      <c r="E316" s="70">
        <f>E314</f>
        <v>1</v>
      </c>
    </row>
    <row r="317" spans="1:5">
      <c r="A317" s="69" t="s">
        <v>157</v>
      </c>
      <c r="B317" s="69"/>
      <c r="C317" s="69"/>
      <c r="D317" s="70">
        <v>0</v>
      </c>
      <c r="E317" s="70">
        <v>0</v>
      </c>
    </row>
    <row r="318" spans="1:5">
      <c r="A318" s="69" t="s">
        <v>207</v>
      </c>
      <c r="B318" s="69"/>
      <c r="C318" s="69"/>
      <c r="D318" s="70">
        <v>0</v>
      </c>
      <c r="E318" s="70">
        <v>0</v>
      </c>
    </row>
    <row r="319" spans="1:5">
      <c r="A319" s="69" t="s">
        <v>208</v>
      </c>
      <c r="B319" s="69"/>
      <c r="C319" s="69"/>
      <c r="D319" s="70">
        <v>0</v>
      </c>
      <c r="E319" s="70">
        <v>0</v>
      </c>
    </row>
    <row r="320" spans="1:5">
      <c r="A320" t="s">
        <v>209</v>
      </c>
      <c r="D320" s="1">
        <v>1</v>
      </c>
      <c r="E320" s="1">
        <v>1</v>
      </c>
    </row>
    <row r="321" spans="1:5">
      <c r="A321" t="s">
        <v>150</v>
      </c>
      <c r="D321" s="1">
        <f>D314</f>
        <v>1</v>
      </c>
      <c r="E321" s="1">
        <f>SUM(E314)</f>
        <v>1</v>
      </c>
    </row>
    <row r="323" spans="1:5">
      <c r="A323" t="s">
        <v>77</v>
      </c>
    </row>
    <row r="324" spans="1:5">
      <c r="A324" t="s">
        <v>260</v>
      </c>
      <c r="B324" t="s">
        <v>35</v>
      </c>
      <c r="C324" t="s">
        <v>176</v>
      </c>
      <c r="D324" s="1">
        <v>0.623</v>
      </c>
    </row>
    <row r="325" spans="1:5">
      <c r="A325" s="29" t="s">
        <v>78</v>
      </c>
      <c r="B325" s="29" t="s">
        <v>35</v>
      </c>
      <c r="C325" s="29" t="s">
        <v>165</v>
      </c>
      <c r="D325" s="30"/>
      <c r="E325" s="30">
        <f>D324*59%</f>
        <v>0.36756999999999995</v>
      </c>
    </row>
    <row r="326" spans="1:5">
      <c r="A326" s="29" t="s">
        <v>411</v>
      </c>
      <c r="B326" s="29" t="s">
        <v>35</v>
      </c>
      <c r="C326" s="29" t="s">
        <v>211</v>
      </c>
      <c r="D326" s="30"/>
      <c r="E326" s="30">
        <f>D324*41%</f>
        <v>0.25542999999999999</v>
      </c>
    </row>
    <row r="327" spans="1:5">
      <c r="A327" t="s">
        <v>261</v>
      </c>
      <c r="B327" t="s">
        <v>62</v>
      </c>
      <c r="C327" t="s">
        <v>262</v>
      </c>
      <c r="D327" s="1">
        <v>0.27</v>
      </c>
    </row>
    <row r="328" spans="1:5">
      <c r="A328" t="s">
        <v>40</v>
      </c>
      <c r="B328" t="s">
        <v>41</v>
      </c>
      <c r="C328" t="s">
        <v>165</v>
      </c>
      <c r="D328" s="1">
        <v>9.9000000000000005E-2</v>
      </c>
    </row>
    <row r="329" spans="1:5">
      <c r="A329" s="29" t="s">
        <v>224</v>
      </c>
      <c r="B329" s="29" t="s">
        <v>35</v>
      </c>
      <c r="C329" s="29" t="s">
        <v>165</v>
      </c>
      <c r="D329" s="30"/>
      <c r="E329" s="30">
        <f>D328*10.9%</f>
        <v>1.0791E-2</v>
      </c>
    </row>
    <row r="330" spans="1:5">
      <c r="A330" s="29" t="s">
        <v>225</v>
      </c>
      <c r="B330" s="29" t="s">
        <v>39</v>
      </c>
      <c r="C330" s="29" t="s">
        <v>165</v>
      </c>
      <c r="D330" s="30"/>
      <c r="E330" s="30">
        <f>D328*10.8%</f>
        <v>1.0692000000000002E-2</v>
      </c>
    </row>
    <row r="331" spans="1:5">
      <c r="A331" s="29" t="s">
        <v>231</v>
      </c>
      <c r="B331" s="29" t="s">
        <v>157</v>
      </c>
      <c r="C331" s="29" t="s">
        <v>165</v>
      </c>
      <c r="D331" s="30"/>
      <c r="E331" s="30">
        <f>D328*3.02%</f>
        <v>2.9898000000000004E-3</v>
      </c>
    </row>
    <row r="332" spans="1:5">
      <c r="A332" s="29" t="s">
        <v>232</v>
      </c>
      <c r="B332" s="29" t="s">
        <v>156</v>
      </c>
      <c r="C332" s="29" t="s">
        <v>176</v>
      </c>
      <c r="D332" s="30"/>
      <c r="E332" s="30">
        <f>D328*2.97%</f>
        <v>2.9403000000000003E-3</v>
      </c>
    </row>
    <row r="333" spans="1:5">
      <c r="A333" s="29" t="s">
        <v>412</v>
      </c>
      <c r="B333" s="29" t="s">
        <v>35</v>
      </c>
      <c r="C333" s="29" t="s">
        <v>198</v>
      </c>
      <c r="D333" s="30"/>
      <c r="E333" s="30">
        <f>D328*0.2%</f>
        <v>1.9800000000000002E-4</v>
      </c>
    </row>
    <row r="334" spans="1:5">
      <c r="A334" s="29" t="s">
        <v>235</v>
      </c>
      <c r="B334" s="29" t="s">
        <v>44</v>
      </c>
      <c r="C334" s="29" t="s">
        <v>176</v>
      </c>
      <c r="D334" s="30"/>
      <c r="E334" s="30">
        <f>D328*0.03%</f>
        <v>2.97E-5</v>
      </c>
    </row>
    <row r="335" spans="1:5">
      <c r="A335" s="29" t="s">
        <v>413</v>
      </c>
      <c r="B335" s="29" t="s">
        <v>156</v>
      </c>
      <c r="C335" s="29" t="s">
        <v>176</v>
      </c>
      <c r="D335" s="30"/>
      <c r="E335" s="30">
        <v>2.2200000000000001E-2</v>
      </c>
    </row>
    <row r="336" spans="1:5">
      <c r="A336" s="29" t="s">
        <v>329</v>
      </c>
      <c r="B336" s="29" t="s">
        <v>35</v>
      </c>
      <c r="C336" s="29" t="s">
        <v>180</v>
      </c>
      <c r="D336" s="30"/>
      <c r="E336" s="30">
        <v>1.0800000000000001E-2</v>
      </c>
    </row>
    <row r="337" spans="1:5">
      <c r="A337" s="29" t="s">
        <v>318</v>
      </c>
      <c r="B337" s="29" t="s">
        <v>156</v>
      </c>
      <c r="C337" s="29" t="s">
        <v>180</v>
      </c>
      <c r="D337" s="30"/>
      <c r="E337" s="30">
        <v>8.8000000000000005E-3</v>
      </c>
    </row>
    <row r="338" spans="1:5">
      <c r="A338" s="29" t="s">
        <v>324</v>
      </c>
      <c r="B338" s="29" t="s">
        <v>156</v>
      </c>
      <c r="C338" s="29" t="s">
        <v>165</v>
      </c>
      <c r="D338" s="30"/>
      <c r="E338" s="30">
        <v>8.0999999999999996E-3</v>
      </c>
    </row>
    <row r="339" spans="1:5">
      <c r="A339" t="s">
        <v>234</v>
      </c>
      <c r="B339" t="s">
        <v>35</v>
      </c>
      <c r="C339" t="s">
        <v>198</v>
      </c>
      <c r="D339" s="1">
        <v>8.0000000000000002E-3</v>
      </c>
    </row>
    <row r="340" spans="1:5">
      <c r="A340" t="s">
        <v>325</v>
      </c>
      <c r="B340" t="s">
        <v>158</v>
      </c>
      <c r="C340" t="s">
        <v>167</v>
      </c>
      <c r="E340" s="1">
        <v>7.1000000000000004E-3</v>
      </c>
    </row>
    <row r="341" spans="1:5">
      <c r="A341" t="s">
        <v>414</v>
      </c>
      <c r="B341" t="s">
        <v>156</v>
      </c>
      <c r="C341" t="s">
        <v>180</v>
      </c>
      <c r="E341" s="1">
        <v>6.0000000000000001E-3</v>
      </c>
    </row>
    <row r="342" spans="1:5">
      <c r="A342" t="s">
        <v>289</v>
      </c>
      <c r="B342" t="s">
        <v>156</v>
      </c>
      <c r="C342" t="s">
        <v>180</v>
      </c>
      <c r="E342" s="1">
        <v>3.2000000000000002E-3</v>
      </c>
    </row>
    <row r="343" spans="1:5">
      <c r="A343" t="s">
        <v>327</v>
      </c>
      <c r="B343" t="s">
        <v>61</v>
      </c>
      <c r="C343" t="s">
        <v>182</v>
      </c>
      <c r="E343" s="1">
        <v>3.0000000000000001E-3</v>
      </c>
    </row>
    <row r="344" spans="1:5">
      <c r="A344" t="s">
        <v>415</v>
      </c>
      <c r="B344" t="s">
        <v>156</v>
      </c>
      <c r="C344" t="s">
        <v>165</v>
      </c>
      <c r="E344" s="1">
        <v>2.5999999999999999E-3</v>
      </c>
    </row>
    <row r="345" spans="1:5">
      <c r="A345" t="s">
        <v>416</v>
      </c>
      <c r="B345" t="s">
        <v>156</v>
      </c>
      <c r="C345" t="s">
        <v>165</v>
      </c>
      <c r="E345" s="1">
        <v>2.5000000000000001E-3</v>
      </c>
    </row>
    <row r="346" spans="1:5">
      <c r="A346" t="s">
        <v>417</v>
      </c>
      <c r="B346" t="s">
        <v>157</v>
      </c>
      <c r="C346" t="s">
        <v>176</v>
      </c>
      <c r="E346" s="1">
        <v>2.3E-3</v>
      </c>
    </row>
    <row r="347" spans="1:5">
      <c r="A347" t="s">
        <v>309</v>
      </c>
      <c r="B347" t="s">
        <v>157</v>
      </c>
      <c r="C347" t="s">
        <v>176</v>
      </c>
      <c r="E347" s="1">
        <v>2.2000000000000001E-3</v>
      </c>
    </row>
    <row r="348" spans="1:5">
      <c r="A348" t="s">
        <v>334</v>
      </c>
      <c r="B348" t="s">
        <v>156</v>
      </c>
      <c r="C348" t="s">
        <v>176</v>
      </c>
      <c r="E348" s="1">
        <v>1.6000000000000001E-3</v>
      </c>
    </row>
    <row r="349" spans="1:5">
      <c r="A349" t="s">
        <v>418</v>
      </c>
      <c r="B349" t="s">
        <v>156</v>
      </c>
      <c r="C349" t="s">
        <v>176</v>
      </c>
      <c r="E349" s="1">
        <v>1.6000000000000001E-3</v>
      </c>
    </row>
    <row r="350" spans="1:5">
      <c r="A350" t="s">
        <v>419</v>
      </c>
      <c r="B350" t="s">
        <v>156</v>
      </c>
      <c r="C350" t="s">
        <v>165</v>
      </c>
      <c r="E350" s="1">
        <v>1.5E-3</v>
      </c>
    </row>
    <row r="351" spans="1:5">
      <c r="A351" t="s">
        <v>420</v>
      </c>
      <c r="B351" t="s">
        <v>331</v>
      </c>
      <c r="C351" t="s">
        <v>180</v>
      </c>
      <c r="E351" s="1">
        <v>1.4E-3</v>
      </c>
    </row>
    <row r="352" spans="1:5">
      <c r="A352" t="s">
        <v>400</v>
      </c>
      <c r="B352" t="s">
        <v>47</v>
      </c>
      <c r="C352" t="s">
        <v>180</v>
      </c>
      <c r="E352" s="1">
        <v>1.2999999999999999E-3</v>
      </c>
    </row>
    <row r="353" spans="1:5">
      <c r="A353" t="s">
        <v>351</v>
      </c>
      <c r="B353" t="s">
        <v>156</v>
      </c>
      <c r="C353" t="s">
        <v>180</v>
      </c>
      <c r="E353" s="1">
        <v>1.1999999999999999E-3</v>
      </c>
    </row>
    <row r="354" spans="1:5">
      <c r="A354" t="s">
        <v>421</v>
      </c>
      <c r="B354" t="s">
        <v>422</v>
      </c>
      <c r="C354" t="s">
        <v>176</v>
      </c>
      <c r="E354" s="1">
        <v>1.1999999999999999E-3</v>
      </c>
    </row>
    <row r="355" spans="1:5">
      <c r="A355" t="s">
        <v>423</v>
      </c>
      <c r="B355" t="s">
        <v>304</v>
      </c>
      <c r="C355" t="s">
        <v>165</v>
      </c>
      <c r="E355" s="1">
        <v>1.1999999999999999E-3</v>
      </c>
    </row>
    <row r="356" spans="1:5">
      <c r="A356" t="s">
        <v>360</v>
      </c>
      <c r="B356" t="s">
        <v>69</v>
      </c>
      <c r="C356" t="s">
        <v>167</v>
      </c>
      <c r="E356" s="1">
        <v>1.1000000000000001E-3</v>
      </c>
    </row>
    <row r="357" spans="1:5">
      <c r="A357" t="s">
        <v>424</v>
      </c>
      <c r="B357" t="s">
        <v>156</v>
      </c>
      <c r="C357" t="s">
        <v>171</v>
      </c>
      <c r="E357" s="1">
        <v>1.1000000000000001E-3</v>
      </c>
    </row>
    <row r="358" spans="1:5">
      <c r="A358" t="s">
        <v>298</v>
      </c>
      <c r="B358" t="s">
        <v>156</v>
      </c>
      <c r="C358" t="s">
        <v>165</v>
      </c>
      <c r="E358" s="1">
        <v>1E-3</v>
      </c>
    </row>
    <row r="359" spans="1:5">
      <c r="A359" t="s">
        <v>299</v>
      </c>
      <c r="B359" t="s">
        <v>156</v>
      </c>
      <c r="C359" t="s">
        <v>167</v>
      </c>
      <c r="E359" s="1">
        <v>1E-3</v>
      </c>
    </row>
    <row r="360" spans="1:5">
      <c r="A360" s="69" t="s">
        <v>156</v>
      </c>
      <c r="B360" s="69"/>
      <c r="C360" s="69"/>
      <c r="D360" s="70">
        <v>0</v>
      </c>
      <c r="E360" s="70">
        <f>SUM(E357:E359,E353,E348:E350,E345:E346,E341:E342,E337:E338,E335,E332)</f>
        <v>6.5040300000000009E-2</v>
      </c>
    </row>
    <row r="361" spans="1:5">
      <c r="A361" s="69" t="s">
        <v>206</v>
      </c>
      <c r="B361" s="69"/>
      <c r="C361" s="69"/>
      <c r="D361" s="70">
        <v>0</v>
      </c>
      <c r="E361" s="70">
        <f>E343</f>
        <v>3.0000000000000001E-3</v>
      </c>
    </row>
    <row r="362" spans="1:5">
      <c r="A362" s="69" t="s">
        <v>157</v>
      </c>
      <c r="B362" s="69"/>
      <c r="C362" s="69"/>
      <c r="D362" s="70">
        <v>0</v>
      </c>
      <c r="E362" s="70">
        <f>SUM(E346:E347,E331)</f>
        <v>7.4898000000000013E-3</v>
      </c>
    </row>
    <row r="363" spans="1:5">
      <c r="A363" s="69" t="s">
        <v>207</v>
      </c>
      <c r="B363" s="69"/>
      <c r="C363" s="69"/>
      <c r="D363" s="70">
        <v>0</v>
      </c>
      <c r="E363" s="70">
        <v>0</v>
      </c>
    </row>
    <row r="364" spans="1:5">
      <c r="A364" s="69" t="s">
        <v>208</v>
      </c>
      <c r="B364" s="69"/>
      <c r="C364" s="69"/>
      <c r="D364" s="70">
        <v>0</v>
      </c>
      <c r="E364" s="70">
        <f>E340</f>
        <v>7.1000000000000004E-3</v>
      </c>
    </row>
    <row r="365" spans="1:5">
      <c r="A365" t="s">
        <v>209</v>
      </c>
      <c r="D365" s="1">
        <f>0</f>
        <v>0</v>
      </c>
      <c r="E365" s="1">
        <f>SUM(E335,E337:E338,E340:E350,E353:E355,E357:E359,E332,E331)</f>
        <v>8.5330100000000034E-2</v>
      </c>
    </row>
    <row r="366" spans="1:5">
      <c r="A366" t="s">
        <v>150</v>
      </c>
      <c r="D366" s="1">
        <f>SUM(D324:D359)</f>
        <v>1</v>
      </c>
      <c r="E366" s="1">
        <f>SUM(E324:E359)</f>
        <v>0.74464079999999999</v>
      </c>
    </row>
    <row r="368" spans="1:5">
      <c r="A368" t="s">
        <v>425</v>
      </c>
    </row>
    <row r="369" spans="1:5">
      <c r="A369" t="s">
        <v>426</v>
      </c>
      <c r="B369" t="s">
        <v>44</v>
      </c>
      <c r="C369" t="s">
        <v>165</v>
      </c>
      <c r="D369" s="1">
        <v>0.1343</v>
      </c>
    </row>
    <row r="370" spans="1:5">
      <c r="A370" s="29" t="s">
        <v>427</v>
      </c>
      <c r="B370" s="29" t="s">
        <v>44</v>
      </c>
      <c r="C370" s="29" t="s">
        <v>211</v>
      </c>
      <c r="D370" s="30"/>
      <c r="E370" s="30">
        <f>D369*100%</f>
        <v>0.1343</v>
      </c>
    </row>
    <row r="371" spans="1:5">
      <c r="A371" t="s">
        <v>428</v>
      </c>
      <c r="B371" t="s">
        <v>44</v>
      </c>
      <c r="C371" t="s">
        <v>165</v>
      </c>
      <c r="D371" s="1">
        <v>0.1177</v>
      </c>
    </row>
    <row r="372" spans="1:5">
      <c r="A372" s="29" t="s">
        <v>429</v>
      </c>
      <c r="B372" s="29" t="s">
        <v>44</v>
      </c>
      <c r="C372" s="29" t="s">
        <v>211</v>
      </c>
      <c r="D372" s="30"/>
      <c r="E372" s="30">
        <f>D371*50%</f>
        <v>5.885E-2</v>
      </c>
    </row>
    <row r="373" spans="1:5">
      <c r="A373" t="s">
        <v>430</v>
      </c>
      <c r="B373" t="s">
        <v>44</v>
      </c>
      <c r="C373" t="s">
        <v>176</v>
      </c>
      <c r="D373" s="1">
        <v>0.1094</v>
      </c>
    </row>
    <row r="374" spans="1:5">
      <c r="A374" s="29" t="s">
        <v>431</v>
      </c>
      <c r="B374" s="29" t="s">
        <v>44</v>
      </c>
      <c r="C374" s="29" t="s">
        <v>211</v>
      </c>
      <c r="D374" s="30"/>
      <c r="E374" s="30">
        <f>D373*89.8%</f>
        <v>9.8241200000000001E-2</v>
      </c>
    </row>
    <row r="375" spans="1:5">
      <c r="A375" t="s">
        <v>432</v>
      </c>
      <c r="B375" t="s">
        <v>44</v>
      </c>
      <c r="C375" t="s">
        <v>433</v>
      </c>
      <c r="E375" s="1">
        <f>D373*10.2%</f>
        <v>1.1158799999999998E-2</v>
      </c>
    </row>
    <row r="376" spans="1:5">
      <c r="A376" s="69" t="s">
        <v>156</v>
      </c>
      <c r="B376" s="69"/>
      <c r="C376" s="69"/>
      <c r="D376" s="70">
        <v>0</v>
      </c>
      <c r="E376" s="70">
        <v>0</v>
      </c>
    </row>
    <row r="377" spans="1:5">
      <c r="A377" s="69" t="s">
        <v>206</v>
      </c>
      <c r="B377" s="69"/>
      <c r="C377" s="69"/>
      <c r="D377" s="70">
        <v>0</v>
      </c>
      <c r="E377" s="70">
        <v>0</v>
      </c>
    </row>
    <row r="378" spans="1:5">
      <c r="A378" s="69" t="s">
        <v>157</v>
      </c>
      <c r="B378" s="69"/>
      <c r="C378" s="69"/>
      <c r="D378" s="70">
        <v>0</v>
      </c>
      <c r="E378" s="70">
        <v>0</v>
      </c>
    </row>
    <row r="379" spans="1:5">
      <c r="A379" s="69" t="s">
        <v>207</v>
      </c>
      <c r="B379" s="69"/>
      <c r="C379" s="69"/>
      <c r="D379" s="70">
        <v>0</v>
      </c>
      <c r="E379" s="70">
        <v>0</v>
      </c>
    </row>
    <row r="380" spans="1:5">
      <c r="A380" s="69" t="s">
        <v>208</v>
      </c>
      <c r="B380" s="69"/>
      <c r="C380" s="69"/>
      <c r="D380" s="70">
        <v>0</v>
      </c>
      <c r="E380" s="70">
        <v>0</v>
      </c>
    </row>
    <row r="381" spans="1:5">
      <c r="A381" t="s">
        <v>209</v>
      </c>
      <c r="D381" s="1">
        <v>0</v>
      </c>
      <c r="E381" s="1">
        <v>0</v>
      </c>
    </row>
    <row r="382" spans="1:5">
      <c r="A382" t="s">
        <v>150</v>
      </c>
      <c r="D382" s="1">
        <f>SUM(D373)</f>
        <v>0.1094</v>
      </c>
      <c r="E382" s="1">
        <f>SUM(E369:E375)</f>
        <v>0.30254999999999999</v>
      </c>
    </row>
    <row r="384" spans="1:5">
      <c r="A384" t="s">
        <v>434</v>
      </c>
    </row>
    <row r="385" spans="1:5">
      <c r="A385" t="s">
        <v>435</v>
      </c>
      <c r="B385" t="s">
        <v>44</v>
      </c>
      <c r="C385" t="s">
        <v>165</v>
      </c>
      <c r="D385" s="1">
        <v>0.76949999999999996</v>
      </c>
    </row>
    <row r="386" spans="1:5">
      <c r="A386" s="29" t="s">
        <v>436</v>
      </c>
      <c r="B386" s="29" t="s">
        <v>44</v>
      </c>
      <c r="C386" s="29" t="s">
        <v>211</v>
      </c>
      <c r="D386" s="30"/>
      <c r="E386" s="30">
        <f>D385*50.1%</f>
        <v>0.38551949999999996</v>
      </c>
    </row>
    <row r="387" spans="1:5">
      <c r="A387" s="29" t="s">
        <v>437</v>
      </c>
      <c r="B387" s="29" t="s">
        <v>44</v>
      </c>
      <c r="C387" s="29" t="s">
        <v>211</v>
      </c>
      <c r="D387" s="30"/>
      <c r="E387" s="30">
        <f>D385*49.9%</f>
        <v>0.3839805</v>
      </c>
    </row>
    <row r="388" spans="1:5">
      <c r="A388" t="s">
        <v>436</v>
      </c>
      <c r="B388" t="s">
        <v>44</v>
      </c>
      <c r="C388" t="s">
        <v>211</v>
      </c>
      <c r="D388" s="1">
        <v>0.23050000000000001</v>
      </c>
    </row>
    <row r="389" spans="1:5">
      <c r="A389" s="69" t="s">
        <v>156</v>
      </c>
      <c r="B389" s="69"/>
      <c r="C389" s="69"/>
      <c r="D389" s="70">
        <v>0</v>
      </c>
      <c r="E389" s="70">
        <v>0</v>
      </c>
    </row>
    <row r="390" spans="1:5">
      <c r="A390" s="69" t="s">
        <v>206</v>
      </c>
      <c r="B390" s="69"/>
      <c r="C390" s="69"/>
      <c r="D390" s="70">
        <v>0</v>
      </c>
      <c r="E390" s="70">
        <v>0</v>
      </c>
    </row>
    <row r="391" spans="1:5">
      <c r="A391" s="69" t="s">
        <v>157</v>
      </c>
      <c r="B391" s="69"/>
      <c r="C391" s="69"/>
      <c r="D391" s="70">
        <v>0</v>
      </c>
      <c r="E391" s="70">
        <v>0</v>
      </c>
    </row>
    <row r="392" spans="1:5">
      <c r="A392" s="69" t="s">
        <v>207</v>
      </c>
      <c r="B392" s="69"/>
      <c r="C392" s="69"/>
      <c r="D392" s="70">
        <v>0</v>
      </c>
      <c r="E392" s="70">
        <v>0</v>
      </c>
    </row>
    <row r="393" spans="1:5">
      <c r="A393" s="69" t="s">
        <v>208</v>
      </c>
      <c r="B393" s="69"/>
      <c r="C393" s="69"/>
      <c r="D393" s="70">
        <v>0</v>
      </c>
      <c r="E393" s="70">
        <v>0</v>
      </c>
    </row>
    <row r="394" spans="1:5">
      <c r="A394" t="s">
        <v>209</v>
      </c>
      <c r="D394" s="1">
        <v>0</v>
      </c>
      <c r="E394" s="1">
        <v>0</v>
      </c>
    </row>
    <row r="395" spans="1:5">
      <c r="A395" t="s">
        <v>150</v>
      </c>
      <c r="D395" s="1">
        <f>D385</f>
        <v>0.76949999999999996</v>
      </c>
      <c r="E395" s="1">
        <f>SUM(E385:E388)</f>
        <v>0.76949999999999996</v>
      </c>
    </row>
    <row r="397" spans="1:5">
      <c r="A397" t="s">
        <v>100</v>
      </c>
    </row>
    <row r="398" spans="1:5">
      <c r="A398" t="s">
        <v>228</v>
      </c>
      <c r="B398" t="s">
        <v>44</v>
      </c>
      <c r="C398" t="s">
        <v>167</v>
      </c>
      <c r="D398" s="1">
        <v>0.25159999999999999</v>
      </c>
    </row>
    <row r="399" spans="1:5">
      <c r="A399" s="29" t="s">
        <v>229</v>
      </c>
      <c r="B399" s="29" t="s">
        <v>44</v>
      </c>
      <c r="C399" s="29" t="s">
        <v>167</v>
      </c>
      <c r="D399" s="30"/>
      <c r="E399" s="30">
        <f>D398*50%</f>
        <v>0.1258</v>
      </c>
    </row>
    <row r="400" spans="1:5">
      <c r="A400" t="s">
        <v>328</v>
      </c>
      <c r="B400" t="s">
        <v>156</v>
      </c>
      <c r="C400" t="s">
        <v>165</v>
      </c>
      <c r="E400" s="1">
        <v>8.6999999999999994E-2</v>
      </c>
    </row>
    <row r="401" spans="1:5">
      <c r="A401" t="s">
        <v>438</v>
      </c>
      <c r="B401" t="s">
        <v>44</v>
      </c>
      <c r="C401" t="s">
        <v>165</v>
      </c>
      <c r="D401" s="1">
        <v>7.0000000000000007E-2</v>
      </c>
    </row>
    <row r="402" spans="1:5">
      <c r="A402" t="s">
        <v>439</v>
      </c>
      <c r="B402" t="s">
        <v>203</v>
      </c>
      <c r="C402" t="s">
        <v>176</v>
      </c>
      <c r="E402" s="1">
        <v>6.2300000000000001E-2</v>
      </c>
    </row>
    <row r="403" spans="1:5">
      <c r="A403" t="s">
        <v>328</v>
      </c>
      <c r="B403" t="s">
        <v>156</v>
      </c>
      <c r="C403" t="s">
        <v>165</v>
      </c>
      <c r="E403" s="1">
        <v>5.2200000000000003E-2</v>
      </c>
    </row>
    <row r="404" spans="1:5">
      <c r="A404" t="s">
        <v>440</v>
      </c>
      <c r="B404" t="s">
        <v>175</v>
      </c>
      <c r="C404" t="s">
        <v>176</v>
      </c>
      <c r="E404" s="1">
        <v>5.1299999999999998E-2</v>
      </c>
    </row>
    <row r="405" spans="1:5">
      <c r="A405" t="s">
        <v>441</v>
      </c>
      <c r="B405" t="s">
        <v>47</v>
      </c>
      <c r="C405" t="s">
        <v>211</v>
      </c>
      <c r="E405" s="1">
        <v>5.1299999999999998E-2</v>
      </c>
    </row>
    <row r="406" spans="1:5">
      <c r="A406" t="s">
        <v>442</v>
      </c>
      <c r="B406" t="s">
        <v>44</v>
      </c>
      <c r="C406" t="s">
        <v>176</v>
      </c>
      <c r="D406" s="1">
        <v>0.05</v>
      </c>
    </row>
    <row r="407" spans="1:5">
      <c r="A407" s="29" t="s">
        <v>443</v>
      </c>
      <c r="B407" s="29" t="s">
        <v>44</v>
      </c>
      <c r="C407" s="29" t="s">
        <v>165</v>
      </c>
      <c r="D407" s="30"/>
      <c r="E407" s="30">
        <f>D406*100%</f>
        <v>0.05</v>
      </c>
    </row>
    <row r="408" spans="1:5">
      <c r="A408" t="s">
        <v>444</v>
      </c>
      <c r="B408" t="s">
        <v>156</v>
      </c>
      <c r="C408" t="s">
        <v>165</v>
      </c>
      <c r="D408" s="1">
        <v>4.87E-2</v>
      </c>
    </row>
    <row r="409" spans="1:5">
      <c r="A409" t="s">
        <v>445</v>
      </c>
      <c r="B409" t="s">
        <v>156</v>
      </c>
      <c r="C409" t="s">
        <v>176</v>
      </c>
      <c r="D409" s="1">
        <v>4.1099999999999998E-2</v>
      </c>
    </row>
    <row r="410" spans="1:5">
      <c r="A410" s="29" t="s">
        <v>444</v>
      </c>
      <c r="B410" s="29" t="s">
        <v>156</v>
      </c>
      <c r="C410" s="29"/>
      <c r="D410" s="30"/>
      <c r="E410" s="30">
        <f>D409*4.93%</f>
        <v>2.02623E-3</v>
      </c>
    </row>
    <row r="411" spans="1:5">
      <c r="A411" t="s">
        <v>345</v>
      </c>
      <c r="B411" t="s">
        <v>280</v>
      </c>
      <c r="C411" t="s">
        <v>176</v>
      </c>
      <c r="D411" s="1">
        <v>3.9E-2</v>
      </c>
    </row>
    <row r="412" spans="1:5">
      <c r="A412" s="29" t="s">
        <v>446</v>
      </c>
      <c r="B412" s="29" t="s">
        <v>156</v>
      </c>
      <c r="C412" s="29" t="s">
        <v>165</v>
      </c>
      <c r="D412" s="30"/>
      <c r="E412" s="30">
        <f>D411*37.01%</f>
        <v>1.44339E-2</v>
      </c>
    </row>
    <row r="413" spans="1:5">
      <c r="A413" t="s">
        <v>447</v>
      </c>
      <c r="B413" t="s">
        <v>203</v>
      </c>
      <c r="C413" t="s">
        <v>176</v>
      </c>
      <c r="D413" s="1">
        <v>3.2300000000000002E-2</v>
      </c>
    </row>
    <row r="414" spans="1:5">
      <c r="A414" s="29" t="s">
        <v>316</v>
      </c>
      <c r="B414" s="29" t="s">
        <v>44</v>
      </c>
      <c r="C414" s="29" t="s">
        <v>211</v>
      </c>
      <c r="E414" s="1">
        <f>D413*50.15%</f>
        <v>1.619845E-2</v>
      </c>
    </row>
    <row r="415" spans="1:5">
      <c r="A415" s="29" t="s">
        <v>448</v>
      </c>
      <c r="B415" s="29" t="s">
        <v>44</v>
      </c>
      <c r="C415" s="29" t="s">
        <v>180</v>
      </c>
      <c r="E415" s="1">
        <f>D413*15.03%</f>
        <v>4.85469E-3</v>
      </c>
    </row>
    <row r="416" spans="1:5">
      <c r="A416" s="29" t="s">
        <v>449</v>
      </c>
      <c r="B416" s="29" t="s">
        <v>44</v>
      </c>
      <c r="C416" s="29" t="s">
        <v>171</v>
      </c>
      <c r="E416" s="1">
        <f>D413*3.95%</f>
        <v>1.27585E-3</v>
      </c>
    </row>
    <row r="417" spans="1:5">
      <c r="A417" s="29" t="s">
        <v>450</v>
      </c>
      <c r="B417" s="29" t="s">
        <v>44</v>
      </c>
      <c r="C417" s="29" t="s">
        <v>433</v>
      </c>
      <c r="E417" s="1">
        <f>D413*1.59%</f>
        <v>5.1357000000000009E-4</v>
      </c>
    </row>
    <row r="418" spans="1:5">
      <c r="A418" s="29" t="s">
        <v>451</v>
      </c>
      <c r="B418" s="29" t="s">
        <v>44</v>
      </c>
      <c r="C418" s="29" t="s">
        <v>176</v>
      </c>
      <c r="E418" s="1">
        <f>D413*1.48%</f>
        <v>4.7804000000000005E-4</v>
      </c>
    </row>
    <row r="419" spans="1:5">
      <c r="A419" s="29" t="s">
        <v>452</v>
      </c>
      <c r="B419" s="29" t="s">
        <v>44</v>
      </c>
      <c r="C419" s="29" t="s">
        <v>176</v>
      </c>
      <c r="E419" s="1">
        <f>D413*1.17%</f>
        <v>3.7790999999999996E-4</v>
      </c>
    </row>
    <row r="420" spans="1:5">
      <c r="A420" s="29" t="s">
        <v>453</v>
      </c>
      <c r="B420" s="29" t="s">
        <v>44</v>
      </c>
      <c r="C420" s="29" t="s">
        <v>176</v>
      </c>
      <c r="E420" s="1">
        <f>D413*1.09%</f>
        <v>3.5207000000000001E-4</v>
      </c>
    </row>
    <row r="421" spans="1:5">
      <c r="A421" s="29" t="s">
        <v>454</v>
      </c>
      <c r="B421" s="29" t="s">
        <v>44</v>
      </c>
      <c r="C421" s="29" t="s">
        <v>176</v>
      </c>
      <c r="E421" s="1">
        <f>D413*1.01%</f>
        <v>3.2623E-4</v>
      </c>
    </row>
    <row r="422" spans="1:5">
      <c r="A422" s="29" t="s">
        <v>455</v>
      </c>
      <c r="B422" s="29" t="s">
        <v>44</v>
      </c>
      <c r="C422" s="29" t="s">
        <v>176</v>
      </c>
      <c r="E422" s="1">
        <f>D413*0.81%</f>
        <v>2.6163000000000005E-4</v>
      </c>
    </row>
    <row r="423" spans="1:5">
      <c r="A423" s="29" t="s">
        <v>456</v>
      </c>
      <c r="B423" s="29" t="s">
        <v>44</v>
      </c>
      <c r="C423" s="29" t="s">
        <v>165</v>
      </c>
      <c r="E423" s="1">
        <f>D413*0.78%</f>
        <v>2.5194000000000003E-4</v>
      </c>
    </row>
    <row r="424" spans="1:5">
      <c r="A424" s="29" t="s">
        <v>457</v>
      </c>
      <c r="B424" s="29" t="s">
        <v>44</v>
      </c>
      <c r="C424" s="29" t="s">
        <v>433</v>
      </c>
      <c r="E424" s="1">
        <f>D413*0.65%</f>
        <v>2.0995000000000003E-4</v>
      </c>
    </row>
    <row r="425" spans="1:5">
      <c r="A425" s="29" t="s">
        <v>458</v>
      </c>
      <c r="B425" s="29" t="s">
        <v>44</v>
      </c>
      <c r="C425" s="29" t="s">
        <v>165</v>
      </c>
      <c r="E425" s="1">
        <f>D413*0.01%</f>
        <v>3.2300000000000004E-6</v>
      </c>
    </row>
    <row r="426" spans="1:5">
      <c r="A426" t="s">
        <v>459</v>
      </c>
      <c r="B426" t="s">
        <v>44</v>
      </c>
      <c r="C426" t="s">
        <v>180</v>
      </c>
      <c r="D426" s="1">
        <v>3.2000000000000001E-2</v>
      </c>
    </row>
    <row r="427" spans="1:5">
      <c r="A427" t="s">
        <v>460</v>
      </c>
      <c r="B427" t="s">
        <v>156</v>
      </c>
      <c r="C427" t="s">
        <v>176</v>
      </c>
      <c r="E427" s="1">
        <v>3.0800000000000001E-2</v>
      </c>
    </row>
    <row r="428" spans="1:5">
      <c r="A428" t="s">
        <v>461</v>
      </c>
      <c r="B428" t="s">
        <v>156</v>
      </c>
      <c r="C428" t="s">
        <v>193</v>
      </c>
      <c r="E428" s="1">
        <v>3.0599999999999999E-2</v>
      </c>
    </row>
    <row r="429" spans="1:5">
      <c r="A429" t="s">
        <v>462</v>
      </c>
      <c r="B429" t="s">
        <v>156</v>
      </c>
      <c r="C429" t="s">
        <v>165</v>
      </c>
      <c r="D429" s="1">
        <v>3.04E-2</v>
      </c>
    </row>
    <row r="430" spans="1:5">
      <c r="A430" s="29" t="s">
        <v>461</v>
      </c>
      <c r="B430" s="29" t="s">
        <v>156</v>
      </c>
      <c r="C430" s="29" t="s">
        <v>193</v>
      </c>
      <c r="D430" s="30"/>
      <c r="E430" s="30">
        <f>D429*100%</f>
        <v>3.04E-2</v>
      </c>
    </row>
    <row r="431" spans="1:5">
      <c r="A431" t="s">
        <v>463</v>
      </c>
      <c r="B431" t="s">
        <v>44</v>
      </c>
      <c r="C431" t="s">
        <v>165</v>
      </c>
      <c r="D431" s="1">
        <v>0.03</v>
      </c>
    </row>
    <row r="432" spans="1:5">
      <c r="A432" s="29" t="s">
        <v>464</v>
      </c>
      <c r="B432" s="29" t="s">
        <v>44</v>
      </c>
      <c r="C432" s="29" t="s">
        <v>165</v>
      </c>
      <c r="D432" s="30"/>
      <c r="E432" s="30">
        <f>D431*100%</f>
        <v>0.03</v>
      </c>
    </row>
    <row r="433" spans="1:5">
      <c r="A433" t="s">
        <v>325</v>
      </c>
      <c r="B433" t="s">
        <v>158</v>
      </c>
      <c r="C433" t="s">
        <v>167</v>
      </c>
      <c r="E433" s="1">
        <v>0.03</v>
      </c>
    </row>
    <row r="434" spans="1:5">
      <c r="A434" t="s">
        <v>465</v>
      </c>
      <c r="B434" t="s">
        <v>157</v>
      </c>
      <c r="C434" t="s">
        <v>176</v>
      </c>
      <c r="D434" s="1">
        <v>2.93E-2</v>
      </c>
    </row>
    <row r="435" spans="1:5">
      <c r="A435" t="s">
        <v>466</v>
      </c>
      <c r="B435" t="s">
        <v>157</v>
      </c>
      <c r="C435" t="s">
        <v>165</v>
      </c>
      <c r="D435" s="1">
        <v>2.86E-2</v>
      </c>
    </row>
    <row r="436" spans="1:5">
      <c r="A436" t="s">
        <v>467</v>
      </c>
      <c r="B436" t="s">
        <v>35</v>
      </c>
      <c r="C436" t="s">
        <v>171</v>
      </c>
      <c r="D436" s="1">
        <v>2.69E-2</v>
      </c>
    </row>
    <row r="437" spans="1:5">
      <c r="A437" s="29" t="s">
        <v>468</v>
      </c>
      <c r="B437" s="29" t="s">
        <v>35</v>
      </c>
      <c r="C437" s="29" t="s">
        <v>176</v>
      </c>
      <c r="D437" s="30"/>
      <c r="E437" s="30">
        <f>D436*87%</f>
        <v>2.3403E-2</v>
      </c>
    </row>
    <row r="438" spans="1:5">
      <c r="A438" s="29" t="s">
        <v>469</v>
      </c>
      <c r="B438" s="29" t="s">
        <v>35</v>
      </c>
      <c r="C438" s="29" t="s">
        <v>176</v>
      </c>
      <c r="D438" s="30"/>
      <c r="E438" s="30">
        <f>D436*7.21%</f>
        <v>1.9394899999999999E-3</v>
      </c>
    </row>
    <row r="439" spans="1:5">
      <c r="A439" s="29" t="s">
        <v>470</v>
      </c>
      <c r="B439" s="29" t="s">
        <v>35</v>
      </c>
      <c r="C439" s="29" t="s">
        <v>165</v>
      </c>
      <c r="D439" s="30"/>
      <c r="E439" s="30">
        <f>D436*0.44%</f>
        <v>1.1836000000000001E-4</v>
      </c>
    </row>
    <row r="440" spans="1:5">
      <c r="A440" t="s">
        <v>370</v>
      </c>
      <c r="B440" t="s">
        <v>158</v>
      </c>
      <c r="C440" t="s">
        <v>180</v>
      </c>
      <c r="D440" s="1">
        <v>2.6700000000000002E-2</v>
      </c>
    </row>
    <row r="441" spans="1:5">
      <c r="A441" s="29" t="s">
        <v>325</v>
      </c>
      <c r="B441" s="29" t="s">
        <v>158</v>
      </c>
      <c r="C441" s="29"/>
      <c r="D441" s="30"/>
      <c r="E441" s="30">
        <f>D440*100%</f>
        <v>2.6700000000000002E-2</v>
      </c>
    </row>
    <row r="442" spans="1:5">
      <c r="A442" t="s">
        <v>329</v>
      </c>
      <c r="B442" t="s">
        <v>35</v>
      </c>
      <c r="C442" t="s">
        <v>180</v>
      </c>
      <c r="E442" s="1">
        <v>2.53E-2</v>
      </c>
    </row>
    <row r="443" spans="1:5">
      <c r="A443" t="s">
        <v>471</v>
      </c>
      <c r="B443" t="s">
        <v>157</v>
      </c>
      <c r="C443" t="s">
        <v>171</v>
      </c>
      <c r="D443" s="1">
        <v>2.0199999999999999E-2</v>
      </c>
    </row>
    <row r="444" spans="1:5">
      <c r="A444" s="29" t="s">
        <v>472</v>
      </c>
      <c r="B444" s="29" t="s">
        <v>280</v>
      </c>
      <c r="C444" s="29" t="s">
        <v>171</v>
      </c>
      <c r="D444" s="30"/>
      <c r="E444" s="30">
        <f>D443*2%</f>
        <v>4.0400000000000001E-4</v>
      </c>
    </row>
    <row r="445" spans="1:5">
      <c r="A445" t="s">
        <v>473</v>
      </c>
      <c r="B445" t="s">
        <v>156</v>
      </c>
      <c r="C445" t="s">
        <v>165</v>
      </c>
      <c r="E445" s="1">
        <v>1.9800000000000002E-2</v>
      </c>
    </row>
    <row r="446" spans="1:5">
      <c r="A446" t="s">
        <v>298</v>
      </c>
      <c r="B446" t="s">
        <v>156</v>
      </c>
      <c r="C446" t="s">
        <v>165</v>
      </c>
      <c r="E446" s="1">
        <v>1.5299999999999999E-2</v>
      </c>
    </row>
    <row r="447" spans="1:5">
      <c r="A447" t="s">
        <v>474</v>
      </c>
      <c r="B447" t="s">
        <v>44</v>
      </c>
      <c r="C447" t="s">
        <v>180</v>
      </c>
      <c r="E447" s="1">
        <v>1.46E-2</v>
      </c>
    </row>
    <row r="448" spans="1:5">
      <c r="A448" t="s">
        <v>230</v>
      </c>
      <c r="B448" t="s">
        <v>156</v>
      </c>
      <c r="C448" t="s">
        <v>180</v>
      </c>
      <c r="E448" s="1">
        <v>1.29E-2</v>
      </c>
    </row>
    <row r="449" spans="1:5">
      <c r="A449" t="s">
        <v>475</v>
      </c>
      <c r="B449" t="s">
        <v>44</v>
      </c>
      <c r="C449" t="s">
        <v>180</v>
      </c>
      <c r="E449" s="1">
        <v>9.7000000000000003E-3</v>
      </c>
    </row>
    <row r="450" spans="1:5">
      <c r="A450" t="s">
        <v>230</v>
      </c>
      <c r="B450" t="s">
        <v>156</v>
      </c>
      <c r="C450" t="s">
        <v>180</v>
      </c>
      <c r="E450" s="1">
        <v>7.6E-3</v>
      </c>
    </row>
    <row r="451" spans="1:5">
      <c r="A451" t="s">
        <v>476</v>
      </c>
      <c r="B451" t="s">
        <v>156</v>
      </c>
      <c r="C451" t="s">
        <v>180</v>
      </c>
      <c r="D451" s="1">
        <v>7.1999999999999998E-3</v>
      </c>
    </row>
    <row r="452" spans="1:5">
      <c r="A452" s="29" t="s">
        <v>444</v>
      </c>
      <c r="B452" s="29" t="s">
        <v>156</v>
      </c>
      <c r="C452" s="29" t="s">
        <v>165</v>
      </c>
      <c r="D452" s="30"/>
      <c r="E452" s="30">
        <f>D451*100%</f>
        <v>7.1999999999999998E-3</v>
      </c>
    </row>
    <row r="453" spans="1:5">
      <c r="A453" t="s">
        <v>477</v>
      </c>
      <c r="B453" t="s">
        <v>156</v>
      </c>
      <c r="C453" t="s">
        <v>165</v>
      </c>
      <c r="E453" s="1">
        <v>6.4000000000000003E-3</v>
      </c>
    </row>
    <row r="454" spans="1:5">
      <c r="A454" t="s">
        <v>421</v>
      </c>
      <c r="B454" t="s">
        <v>478</v>
      </c>
      <c r="C454" t="s">
        <v>176</v>
      </c>
      <c r="E454" s="1">
        <v>5.5999999999999999E-3</v>
      </c>
    </row>
    <row r="455" spans="1:5">
      <c r="A455" t="s">
        <v>479</v>
      </c>
      <c r="B455" t="s">
        <v>156</v>
      </c>
      <c r="C455" t="s">
        <v>165</v>
      </c>
      <c r="E455" s="1">
        <v>5.1000000000000004E-3</v>
      </c>
    </row>
    <row r="456" spans="1:5">
      <c r="A456" t="s">
        <v>480</v>
      </c>
      <c r="B456" t="s">
        <v>156</v>
      </c>
      <c r="C456" t="s">
        <v>165</v>
      </c>
      <c r="D456" s="1">
        <v>5.1000000000000004E-3</v>
      </c>
    </row>
    <row r="457" spans="1:5">
      <c r="A457" t="s">
        <v>481</v>
      </c>
      <c r="B457" t="s">
        <v>157</v>
      </c>
      <c r="C457" t="s">
        <v>171</v>
      </c>
      <c r="E457" s="1">
        <v>4.4000000000000003E-3</v>
      </c>
    </row>
    <row r="458" spans="1:5">
      <c r="A458" t="s">
        <v>482</v>
      </c>
      <c r="B458" t="s">
        <v>156</v>
      </c>
      <c r="C458" t="s">
        <v>171</v>
      </c>
      <c r="D458" s="1">
        <v>4.1000000000000003E-3</v>
      </c>
    </row>
    <row r="459" spans="1:5">
      <c r="A459" t="s">
        <v>483</v>
      </c>
      <c r="B459" t="s">
        <v>47</v>
      </c>
      <c r="C459" t="s">
        <v>180</v>
      </c>
      <c r="E459" s="1">
        <v>3.5999999999999999E-3</v>
      </c>
    </row>
    <row r="460" spans="1:5">
      <c r="A460" t="s">
        <v>353</v>
      </c>
      <c r="B460" t="s">
        <v>61</v>
      </c>
      <c r="C460" t="s">
        <v>171</v>
      </c>
      <c r="E460" s="1">
        <v>3.5999999999999999E-3</v>
      </c>
    </row>
    <row r="461" spans="1:5">
      <c r="A461" t="s">
        <v>484</v>
      </c>
      <c r="B461" t="s">
        <v>35</v>
      </c>
      <c r="C461" t="s">
        <v>182</v>
      </c>
      <c r="E461" s="1">
        <v>3.5000000000000001E-3</v>
      </c>
    </row>
    <row r="462" spans="1:5">
      <c r="A462" t="s">
        <v>485</v>
      </c>
      <c r="B462" t="s">
        <v>156</v>
      </c>
      <c r="C462" t="s">
        <v>180</v>
      </c>
      <c r="E462" s="1">
        <v>3.0000000000000001E-3</v>
      </c>
    </row>
    <row r="463" spans="1:5">
      <c r="A463" t="s">
        <v>486</v>
      </c>
      <c r="B463" t="s">
        <v>44</v>
      </c>
      <c r="C463" t="s">
        <v>165</v>
      </c>
      <c r="E463" s="1">
        <v>3.0000000000000001E-3</v>
      </c>
    </row>
    <row r="464" spans="1:5">
      <c r="A464" t="s">
        <v>234</v>
      </c>
      <c r="B464" t="s">
        <v>44</v>
      </c>
      <c r="C464" t="s">
        <v>198</v>
      </c>
      <c r="D464" s="1">
        <v>2.8999999999999998E-3</v>
      </c>
    </row>
    <row r="465" spans="1:5">
      <c r="A465" t="s">
        <v>487</v>
      </c>
      <c r="B465" t="s">
        <v>156</v>
      </c>
      <c r="C465" t="s">
        <v>176</v>
      </c>
      <c r="E465" s="1">
        <v>2.8999999999999998E-3</v>
      </c>
    </row>
    <row r="466" spans="1:5">
      <c r="A466" t="s">
        <v>488</v>
      </c>
      <c r="B466" t="s">
        <v>280</v>
      </c>
      <c r="C466" t="s">
        <v>176</v>
      </c>
      <c r="E466" s="1">
        <v>2.7000000000000001E-3</v>
      </c>
    </row>
    <row r="467" spans="1:5">
      <c r="A467" t="s">
        <v>489</v>
      </c>
      <c r="B467" t="s">
        <v>44</v>
      </c>
      <c r="C467" t="s">
        <v>180</v>
      </c>
      <c r="E467" s="1">
        <v>2.5999999999999999E-3</v>
      </c>
    </row>
    <row r="468" spans="1:5">
      <c r="A468" t="s">
        <v>490</v>
      </c>
      <c r="B468" t="s">
        <v>156</v>
      </c>
      <c r="C468" t="s">
        <v>176</v>
      </c>
      <c r="D468" s="1">
        <v>2.5999999999999999E-3</v>
      </c>
    </row>
    <row r="469" spans="1:5">
      <c r="A469" s="29" t="s">
        <v>491</v>
      </c>
      <c r="B469" s="29" t="s">
        <v>156</v>
      </c>
      <c r="C469" s="29" t="s">
        <v>176</v>
      </c>
      <c r="D469" s="30"/>
      <c r="E469" s="30">
        <f>D468*80%</f>
        <v>2.0799999999999998E-3</v>
      </c>
    </row>
    <row r="470" spans="1:5">
      <c r="A470" t="s">
        <v>492</v>
      </c>
      <c r="B470" t="s">
        <v>35</v>
      </c>
      <c r="C470" t="s">
        <v>171</v>
      </c>
      <c r="E470" s="1">
        <v>2.5000000000000001E-3</v>
      </c>
    </row>
    <row r="471" spans="1:5">
      <c r="A471" t="s">
        <v>348</v>
      </c>
      <c r="B471" t="s">
        <v>156</v>
      </c>
      <c r="C471" t="s">
        <v>171</v>
      </c>
      <c r="E471" s="1">
        <v>2.3E-3</v>
      </c>
    </row>
    <row r="472" spans="1:5">
      <c r="A472" t="s">
        <v>493</v>
      </c>
      <c r="B472" t="s">
        <v>35</v>
      </c>
      <c r="C472" t="s">
        <v>171</v>
      </c>
      <c r="E472" s="1">
        <v>2.3E-3</v>
      </c>
    </row>
    <row r="473" spans="1:5">
      <c r="A473" t="s">
        <v>494</v>
      </c>
      <c r="B473" t="s">
        <v>67</v>
      </c>
      <c r="C473" t="s">
        <v>176</v>
      </c>
      <c r="E473" s="1">
        <v>2E-3</v>
      </c>
    </row>
    <row r="474" spans="1:5">
      <c r="A474" t="s">
        <v>310</v>
      </c>
      <c r="B474" t="s">
        <v>156</v>
      </c>
      <c r="C474" t="s">
        <v>180</v>
      </c>
      <c r="E474" s="1">
        <v>1.8E-3</v>
      </c>
    </row>
    <row r="475" spans="1:5">
      <c r="A475" t="s">
        <v>351</v>
      </c>
      <c r="B475" t="s">
        <v>156</v>
      </c>
      <c r="C475" t="s">
        <v>180</v>
      </c>
      <c r="E475" s="1">
        <v>1.6999999999999999E-3</v>
      </c>
    </row>
    <row r="476" spans="1:5">
      <c r="A476" t="s">
        <v>495</v>
      </c>
      <c r="B476" t="s">
        <v>44</v>
      </c>
      <c r="C476" t="s">
        <v>171</v>
      </c>
      <c r="E476" s="1">
        <v>1.6000000000000001E-3</v>
      </c>
    </row>
    <row r="477" spans="1:5">
      <c r="A477" t="s">
        <v>326</v>
      </c>
      <c r="B477" t="s">
        <v>35</v>
      </c>
      <c r="C477" t="s">
        <v>165</v>
      </c>
      <c r="E477" s="1">
        <v>1.6000000000000001E-3</v>
      </c>
    </row>
    <row r="478" spans="1:5">
      <c r="A478" t="s">
        <v>299</v>
      </c>
      <c r="B478" t="s">
        <v>156</v>
      </c>
      <c r="C478" t="s">
        <v>167</v>
      </c>
      <c r="E478" s="1">
        <v>1.6000000000000001E-3</v>
      </c>
    </row>
    <row r="479" spans="1:5">
      <c r="A479" t="s">
        <v>496</v>
      </c>
      <c r="B479" t="s">
        <v>61</v>
      </c>
      <c r="C479" t="s">
        <v>171</v>
      </c>
      <c r="E479" s="1">
        <v>1.4E-3</v>
      </c>
    </row>
    <row r="480" spans="1:5">
      <c r="A480" t="s">
        <v>497</v>
      </c>
      <c r="B480" t="s">
        <v>47</v>
      </c>
      <c r="C480" t="s">
        <v>180</v>
      </c>
      <c r="E480" s="1">
        <v>1.4E-3</v>
      </c>
    </row>
    <row r="481" spans="1:5">
      <c r="A481" t="s">
        <v>498</v>
      </c>
      <c r="B481" t="s">
        <v>156</v>
      </c>
      <c r="C481" t="s">
        <v>171</v>
      </c>
      <c r="D481" s="1">
        <v>1.4E-3</v>
      </c>
    </row>
    <row r="482" spans="1:5">
      <c r="A482" t="s">
        <v>499</v>
      </c>
      <c r="B482" t="s">
        <v>156</v>
      </c>
      <c r="C482" t="s">
        <v>176</v>
      </c>
      <c r="E482" s="1">
        <v>1.1999999999999999E-3</v>
      </c>
    </row>
    <row r="483" spans="1:5">
      <c r="A483" t="s">
        <v>500</v>
      </c>
      <c r="B483" t="s">
        <v>33</v>
      </c>
      <c r="C483" t="s">
        <v>165</v>
      </c>
      <c r="E483" s="1">
        <v>1.1999999999999999E-3</v>
      </c>
    </row>
    <row r="484" spans="1:5">
      <c r="A484" t="s">
        <v>501</v>
      </c>
      <c r="B484" t="s">
        <v>157</v>
      </c>
      <c r="C484" t="s">
        <v>182</v>
      </c>
      <c r="E484" s="1">
        <v>1.1000000000000001E-3</v>
      </c>
    </row>
    <row r="485" spans="1:5">
      <c r="A485" t="s">
        <v>502</v>
      </c>
      <c r="B485" t="s">
        <v>44</v>
      </c>
      <c r="C485" t="s">
        <v>165</v>
      </c>
      <c r="E485" s="1">
        <v>1.1000000000000001E-3</v>
      </c>
    </row>
    <row r="486" spans="1:5">
      <c r="A486" t="s">
        <v>503</v>
      </c>
      <c r="B486" t="s">
        <v>44</v>
      </c>
      <c r="C486" t="s">
        <v>182</v>
      </c>
      <c r="E486" s="1">
        <v>1E-3</v>
      </c>
    </row>
    <row r="487" spans="1:5">
      <c r="A487" t="s">
        <v>504</v>
      </c>
      <c r="B487" t="s">
        <v>44</v>
      </c>
      <c r="C487" t="s">
        <v>180</v>
      </c>
      <c r="E487" s="1">
        <v>1E-3</v>
      </c>
    </row>
    <row r="488" spans="1:5">
      <c r="A488" t="s">
        <v>306</v>
      </c>
      <c r="B488" t="s">
        <v>67</v>
      </c>
      <c r="C488" t="s">
        <v>180</v>
      </c>
      <c r="E488" s="1">
        <v>1E-3</v>
      </c>
    </row>
    <row r="489" spans="1:5">
      <c r="A489" t="s">
        <v>289</v>
      </c>
      <c r="B489" t="s">
        <v>156</v>
      </c>
      <c r="C489" t="s">
        <v>180</v>
      </c>
      <c r="E489" s="1">
        <v>5.0000000000000001E-4</v>
      </c>
    </row>
    <row r="490" spans="1:5">
      <c r="A490" t="s">
        <v>505</v>
      </c>
      <c r="B490" t="s">
        <v>157</v>
      </c>
      <c r="C490" t="s">
        <v>180</v>
      </c>
      <c r="D490" s="1">
        <v>5.0000000000000001E-4</v>
      </c>
    </row>
    <row r="491" spans="1:5">
      <c r="A491" t="s">
        <v>506</v>
      </c>
      <c r="B491" t="s">
        <v>61</v>
      </c>
      <c r="C491" t="s">
        <v>171</v>
      </c>
      <c r="D491" s="1">
        <v>2.0000000000000001E-4</v>
      </c>
    </row>
    <row r="492" spans="1:5">
      <c r="A492" t="s">
        <v>507</v>
      </c>
      <c r="B492" t="s">
        <v>157</v>
      </c>
      <c r="C492" t="s">
        <v>171</v>
      </c>
      <c r="D492" s="1">
        <v>2.0000000000000001E-4</v>
      </c>
    </row>
    <row r="493" spans="1:5">
      <c r="A493" t="s">
        <v>508</v>
      </c>
      <c r="B493" t="s">
        <v>156</v>
      </c>
      <c r="C493" t="s">
        <v>176</v>
      </c>
      <c r="D493" s="1">
        <v>1E-4</v>
      </c>
    </row>
    <row r="494" spans="1:5">
      <c r="A494" s="29" t="s">
        <v>509</v>
      </c>
      <c r="B494" s="29" t="s">
        <v>67</v>
      </c>
      <c r="C494" s="29" t="s">
        <v>165</v>
      </c>
      <c r="D494" s="30"/>
      <c r="E494" s="30">
        <f>D493*100%</f>
        <v>1E-4</v>
      </c>
    </row>
    <row r="495" spans="1:5">
      <c r="A495" t="s">
        <v>510</v>
      </c>
      <c r="B495" t="s">
        <v>157</v>
      </c>
      <c r="C495" t="s">
        <v>176</v>
      </c>
      <c r="D495" s="1">
        <v>1E-4</v>
      </c>
    </row>
    <row r="496" spans="1:5">
      <c r="A496" s="69" t="s">
        <v>156</v>
      </c>
      <c r="B496" s="69"/>
      <c r="C496" s="69"/>
      <c r="D496" s="70">
        <f>SUM(D408:D409,D429,D451,D456,D458,D468,D481,D493)</f>
        <v>0.14069999999999996</v>
      </c>
      <c r="E496" s="70">
        <f>SUM(E489,E482,E478,E475,E474,E471,E469,E465,E462,E455,E453,E450,E445:E446,E430,E427:E428,E412,E410,E403,E400)</f>
        <v>0.31874012999999995</v>
      </c>
    </row>
    <row r="497" spans="1:6">
      <c r="A497" s="69" t="s">
        <v>206</v>
      </c>
      <c r="B497" s="69"/>
      <c r="C497" s="69"/>
      <c r="D497" s="70">
        <f>D491</f>
        <v>2.0000000000000001E-4</v>
      </c>
      <c r="E497" s="70">
        <f>E479+E460</f>
        <v>5.0000000000000001E-3</v>
      </c>
    </row>
    <row r="498" spans="1:6">
      <c r="A498" s="69" t="s">
        <v>157</v>
      </c>
      <c r="B498" s="69"/>
      <c r="C498" s="69"/>
      <c r="D498" s="70">
        <f>SUM(D492,D443,D434:D435)</f>
        <v>7.8299999999999995E-2</v>
      </c>
      <c r="E498" s="70">
        <f>SUM(E484,E457)</f>
        <v>5.5000000000000005E-3</v>
      </c>
    </row>
    <row r="499" spans="1:6">
      <c r="A499" s="69" t="s">
        <v>207</v>
      </c>
      <c r="B499" s="69"/>
      <c r="C499" s="69"/>
      <c r="D499" s="70">
        <v>0</v>
      </c>
      <c r="E499" s="70">
        <f>E494+E488+E473</f>
        <v>3.1000000000000003E-3</v>
      </c>
    </row>
    <row r="500" spans="1:6">
      <c r="A500" s="69" t="s">
        <v>208</v>
      </c>
      <c r="B500" s="69"/>
      <c r="C500" s="69"/>
      <c r="D500" s="70">
        <f>D440</f>
        <v>2.6700000000000002E-2</v>
      </c>
      <c r="E500" s="70">
        <f>E441+E433</f>
        <v>5.67E-2</v>
      </c>
    </row>
    <row r="501" spans="1:6">
      <c r="A501" t="s">
        <v>209</v>
      </c>
      <c r="D501" s="1">
        <f>SUM(D403,D427,D434,D443,D458,D481,D490:D495,D468,D456,D451,D440,D435,D429,D408:D411)</f>
        <v>0.28549999999999998</v>
      </c>
      <c r="E501" s="1">
        <f>SUM(E400,E404:E405,E427,E433,E444:E446,E460,E462,E465:E466,D468,E471,E473:E475,E478:E479,E482,E484,E488:E489,E403,E428,E448,E450,E453:E455,E457,E441,E430,E469,E452,E412,E410)</f>
        <v>0.52294413000000006</v>
      </c>
      <c r="F501" s="27"/>
    </row>
    <row r="502" spans="1:6">
      <c r="A502" t="s">
        <v>150</v>
      </c>
      <c r="D502" s="1">
        <f>SUM(D398:D495)</f>
        <v>0.78120000000000001</v>
      </c>
      <c r="E502" s="1">
        <f>SUM(E398:E495)</f>
        <v>0.91510854000000008</v>
      </c>
    </row>
    <row r="504" spans="1:6">
      <c r="A504" t="s">
        <v>511</v>
      </c>
    </row>
    <row r="505" spans="1:6">
      <c r="A505" t="s">
        <v>512</v>
      </c>
      <c r="B505" t="s">
        <v>44</v>
      </c>
      <c r="C505" t="s">
        <v>165</v>
      </c>
      <c r="D505" s="1">
        <v>0.2079</v>
      </c>
    </row>
    <row r="506" spans="1:6">
      <c r="A506" s="69" t="s">
        <v>156</v>
      </c>
      <c r="B506" s="69"/>
      <c r="C506" s="69"/>
      <c r="D506" s="70">
        <v>0</v>
      </c>
      <c r="E506" s="70">
        <v>0</v>
      </c>
    </row>
    <row r="507" spans="1:6">
      <c r="A507" s="69" t="s">
        <v>206</v>
      </c>
      <c r="B507" s="69"/>
      <c r="C507" s="69"/>
      <c r="D507" s="70">
        <v>0</v>
      </c>
      <c r="E507" s="70">
        <v>0</v>
      </c>
    </row>
    <row r="508" spans="1:6">
      <c r="A508" s="69" t="s">
        <v>157</v>
      </c>
      <c r="B508" s="69"/>
      <c r="C508" s="69"/>
      <c r="D508" s="70">
        <v>0</v>
      </c>
      <c r="E508" s="70">
        <v>0</v>
      </c>
    </row>
    <row r="509" spans="1:6">
      <c r="A509" s="69" t="s">
        <v>207</v>
      </c>
      <c r="B509" s="69"/>
      <c r="C509" s="69"/>
      <c r="D509" s="70">
        <v>0</v>
      </c>
      <c r="E509" s="70">
        <v>0</v>
      </c>
    </row>
    <row r="510" spans="1:6">
      <c r="A510" s="69" t="s">
        <v>208</v>
      </c>
      <c r="B510" s="69"/>
      <c r="C510" s="69"/>
      <c r="D510" s="70">
        <v>0</v>
      </c>
      <c r="E510" s="70">
        <v>0</v>
      </c>
    </row>
    <row r="511" spans="1:6">
      <c r="A511" t="s">
        <v>209</v>
      </c>
      <c r="D511" s="1">
        <v>0</v>
      </c>
      <c r="E511" s="1">
        <v>0</v>
      </c>
    </row>
    <row r="512" spans="1:6">
      <c r="A512" t="s">
        <v>150</v>
      </c>
      <c r="D512" s="1">
        <f>SUM(D505:D505)</f>
        <v>0.2079</v>
      </c>
      <c r="E512" s="1">
        <f>SUM(E505:E505)</f>
        <v>0</v>
      </c>
    </row>
    <row r="514" spans="1:5">
      <c r="A514" t="s">
        <v>126</v>
      </c>
    </row>
    <row r="515" spans="1:5">
      <c r="A515" t="s">
        <v>513</v>
      </c>
      <c r="B515" t="s">
        <v>47</v>
      </c>
      <c r="C515" t="s">
        <v>165</v>
      </c>
      <c r="D515" s="1">
        <v>0.93579999999999997</v>
      </c>
    </row>
    <row r="516" spans="1:5">
      <c r="A516" s="29" t="s">
        <v>127</v>
      </c>
      <c r="B516" s="29" t="s">
        <v>47</v>
      </c>
      <c r="C516" s="29" t="s">
        <v>211</v>
      </c>
      <c r="D516" s="30"/>
      <c r="E516" s="30">
        <f>D515*100%</f>
        <v>0.93579999999999997</v>
      </c>
    </row>
    <row r="517" spans="1:5">
      <c r="A517" t="s">
        <v>514</v>
      </c>
      <c r="B517" t="s">
        <v>47</v>
      </c>
      <c r="C517" t="s">
        <v>211</v>
      </c>
      <c r="D517" s="1">
        <v>6.4199999999999993E-2</v>
      </c>
    </row>
    <row r="518" spans="1:5">
      <c r="A518" s="69" t="s">
        <v>156</v>
      </c>
      <c r="B518" s="69"/>
      <c r="C518" s="69"/>
      <c r="D518" s="70">
        <v>0</v>
      </c>
      <c r="E518" s="70">
        <v>0</v>
      </c>
    </row>
    <row r="519" spans="1:5">
      <c r="A519" s="69" t="s">
        <v>206</v>
      </c>
      <c r="B519" s="69"/>
      <c r="C519" s="69"/>
      <c r="D519" s="70">
        <v>0</v>
      </c>
      <c r="E519" s="70">
        <v>0</v>
      </c>
    </row>
    <row r="520" spans="1:5">
      <c r="A520" s="69" t="s">
        <v>157</v>
      </c>
      <c r="B520" s="69"/>
      <c r="C520" s="69"/>
      <c r="D520" s="70">
        <v>0</v>
      </c>
      <c r="E520" s="70">
        <v>0</v>
      </c>
    </row>
    <row r="521" spans="1:5">
      <c r="A521" s="69" t="s">
        <v>207</v>
      </c>
      <c r="B521" s="69"/>
      <c r="C521" s="69"/>
      <c r="D521" s="70">
        <v>0</v>
      </c>
      <c r="E521" s="70">
        <v>0</v>
      </c>
    </row>
    <row r="522" spans="1:5">
      <c r="A522" s="69" t="s">
        <v>208</v>
      </c>
      <c r="B522" s="69"/>
      <c r="C522" s="69"/>
      <c r="D522" s="70">
        <v>0</v>
      </c>
      <c r="E522" s="70">
        <v>0</v>
      </c>
    </row>
    <row r="523" spans="1:5">
      <c r="A523" t="s">
        <v>209</v>
      </c>
      <c r="D523" s="1">
        <v>0</v>
      </c>
      <c r="E523" s="1">
        <v>0</v>
      </c>
    </row>
    <row r="524" spans="1:5">
      <c r="A524" t="s">
        <v>150</v>
      </c>
      <c r="D524" s="1">
        <f>SUM(D515:D517)</f>
        <v>1</v>
      </c>
    </row>
    <row r="526" spans="1:5">
      <c r="A526" t="s">
        <v>515</v>
      </c>
    </row>
    <row r="527" spans="1:5" ht="16.149999999999999" customHeight="1">
      <c r="A527" t="s">
        <v>516</v>
      </c>
      <c r="B527" t="s">
        <v>47</v>
      </c>
      <c r="C527" t="s">
        <v>167</v>
      </c>
      <c r="D527" s="1">
        <v>0.30199999999999999</v>
      </c>
    </row>
    <row r="528" spans="1:5" ht="16.149999999999999" customHeight="1">
      <c r="A528" s="29" t="s">
        <v>517</v>
      </c>
      <c r="B528" s="29" t="s">
        <v>47</v>
      </c>
      <c r="C528" s="29" t="s">
        <v>167</v>
      </c>
      <c r="D528" s="30"/>
      <c r="E528" s="30">
        <f>D527*100%</f>
        <v>0.30199999999999999</v>
      </c>
    </row>
    <row r="529" spans="1:5">
      <c r="A529" t="s">
        <v>230</v>
      </c>
      <c r="B529" t="s">
        <v>156</v>
      </c>
      <c r="C529" t="s">
        <v>180</v>
      </c>
      <c r="E529" s="1">
        <v>4.9799999999999997E-2</v>
      </c>
    </row>
    <row r="530" spans="1:5">
      <c r="A530" t="s">
        <v>518</v>
      </c>
      <c r="B530" t="s">
        <v>156</v>
      </c>
      <c r="C530" t="s">
        <v>176</v>
      </c>
      <c r="D530" s="1">
        <v>3.5999999999999997E-2</v>
      </c>
    </row>
    <row r="531" spans="1:5">
      <c r="A531" s="29" t="s">
        <v>519</v>
      </c>
      <c r="B531" s="29" t="s">
        <v>156</v>
      </c>
      <c r="C531" s="29" t="s">
        <v>180</v>
      </c>
      <c r="D531" s="30"/>
      <c r="E531" s="30">
        <f>D530*100%</f>
        <v>3.5999999999999997E-2</v>
      </c>
    </row>
    <row r="532" spans="1:5">
      <c r="A532" t="s">
        <v>520</v>
      </c>
      <c r="B532" t="s">
        <v>156</v>
      </c>
      <c r="C532" t="s">
        <v>165</v>
      </c>
      <c r="E532" s="1">
        <v>2.12E-2</v>
      </c>
    </row>
    <row r="533" spans="1:5">
      <c r="A533" t="s">
        <v>473</v>
      </c>
      <c r="B533" t="s">
        <v>156</v>
      </c>
      <c r="C533" t="s">
        <v>165</v>
      </c>
      <c r="E533" s="1">
        <v>1.9699999999999999E-2</v>
      </c>
    </row>
    <row r="534" spans="1:5">
      <c r="A534" t="s">
        <v>325</v>
      </c>
      <c r="B534" t="s">
        <v>158</v>
      </c>
      <c r="C534" t="s">
        <v>167</v>
      </c>
      <c r="E534" s="1">
        <v>1.6899999999999998E-2</v>
      </c>
    </row>
    <row r="535" spans="1:5">
      <c r="A535" t="s">
        <v>233</v>
      </c>
      <c r="B535" t="s">
        <v>156</v>
      </c>
      <c r="C535" t="s">
        <v>180</v>
      </c>
      <c r="E535" s="1">
        <v>1.55E-2</v>
      </c>
    </row>
    <row r="536" spans="1:5">
      <c r="A536" t="s">
        <v>370</v>
      </c>
      <c r="B536" t="s">
        <v>158</v>
      </c>
      <c r="C536" t="s">
        <v>180</v>
      </c>
      <c r="D536" s="1">
        <v>1.52E-2</v>
      </c>
    </row>
    <row r="537" spans="1:5">
      <c r="A537" s="29" t="s">
        <v>325</v>
      </c>
      <c r="B537" s="29" t="s">
        <v>158</v>
      </c>
      <c r="C537" s="29" t="s">
        <v>167</v>
      </c>
      <c r="D537" s="30"/>
      <c r="E537" s="30">
        <f>D536*100%</f>
        <v>1.52E-2</v>
      </c>
    </row>
    <row r="538" spans="1:5">
      <c r="A538" t="s">
        <v>521</v>
      </c>
      <c r="B538" t="s">
        <v>156</v>
      </c>
      <c r="C538" t="s">
        <v>180</v>
      </c>
      <c r="E538" s="1">
        <v>1.43E-2</v>
      </c>
    </row>
    <row r="539" spans="1:5">
      <c r="A539" t="s">
        <v>371</v>
      </c>
      <c r="B539" t="s">
        <v>47</v>
      </c>
      <c r="C539" t="s">
        <v>180</v>
      </c>
      <c r="D539" s="1">
        <v>1.01E-2</v>
      </c>
    </row>
    <row r="540" spans="1:5">
      <c r="A540" t="s">
        <v>460</v>
      </c>
      <c r="B540" t="s">
        <v>156</v>
      </c>
      <c r="C540" t="s">
        <v>176</v>
      </c>
      <c r="E540" s="1">
        <v>0.01</v>
      </c>
    </row>
    <row r="541" spans="1:5">
      <c r="A541" t="s">
        <v>522</v>
      </c>
      <c r="B541" t="s">
        <v>156</v>
      </c>
      <c r="C541" t="s">
        <v>176</v>
      </c>
      <c r="D541" s="1">
        <v>9.9000000000000008E-3</v>
      </c>
    </row>
    <row r="542" spans="1:5">
      <c r="A542" s="29" t="s">
        <v>523</v>
      </c>
      <c r="B542" s="29" t="s">
        <v>156</v>
      </c>
      <c r="C542" s="29" t="s">
        <v>176</v>
      </c>
      <c r="D542" s="30"/>
      <c r="E542" s="30">
        <f>D541*50%</f>
        <v>4.9500000000000004E-3</v>
      </c>
    </row>
    <row r="543" spans="1:5">
      <c r="A543" s="29" t="s">
        <v>524</v>
      </c>
      <c r="B543" s="29" t="s">
        <v>156</v>
      </c>
      <c r="C543" s="29" t="s">
        <v>211</v>
      </c>
      <c r="D543" s="30"/>
      <c r="E543" s="30">
        <f>D541*25%</f>
        <v>2.4750000000000002E-3</v>
      </c>
    </row>
    <row r="544" spans="1:5">
      <c r="A544" t="s">
        <v>326</v>
      </c>
      <c r="B544" t="s">
        <v>35</v>
      </c>
      <c r="C544" t="s">
        <v>165</v>
      </c>
      <c r="E544" s="1">
        <v>9.1999999999999998E-3</v>
      </c>
    </row>
    <row r="545" spans="1:5">
      <c r="A545" t="s">
        <v>373</v>
      </c>
      <c r="B545" t="s">
        <v>157</v>
      </c>
      <c r="C545" t="s">
        <v>171</v>
      </c>
      <c r="D545" s="1">
        <v>8.8000000000000005E-3</v>
      </c>
    </row>
    <row r="546" spans="1:5">
      <c r="A546" s="29" t="s">
        <v>525</v>
      </c>
      <c r="B546" s="29" t="s">
        <v>157</v>
      </c>
      <c r="C546" s="29" t="s">
        <v>176</v>
      </c>
      <c r="D546" s="30"/>
      <c r="E546" s="30">
        <f>D545*75%</f>
        <v>6.6E-3</v>
      </c>
    </row>
    <row r="547" spans="1:5">
      <c r="A547" s="29" t="s">
        <v>316</v>
      </c>
      <c r="B547" s="29" t="s">
        <v>157</v>
      </c>
      <c r="C547" s="29" t="s">
        <v>211</v>
      </c>
      <c r="D547" s="30"/>
      <c r="E547" s="30">
        <f>D545*15%</f>
        <v>1.32E-3</v>
      </c>
    </row>
    <row r="548" spans="1:5" ht="18.600000000000001" customHeight="1">
      <c r="A548" t="s">
        <v>374</v>
      </c>
      <c r="B548" t="s">
        <v>157</v>
      </c>
      <c r="C548" t="s">
        <v>193</v>
      </c>
      <c r="D548" s="1">
        <v>8.2000000000000007E-3</v>
      </c>
    </row>
    <row r="549" spans="1:5">
      <c r="A549" t="s">
        <v>375</v>
      </c>
      <c r="B549" t="s">
        <v>156</v>
      </c>
      <c r="C549" t="s">
        <v>165</v>
      </c>
      <c r="D549" s="1">
        <v>6.8999999999999999E-3</v>
      </c>
    </row>
    <row r="550" spans="1:5">
      <c r="A550" s="29" t="s">
        <v>526</v>
      </c>
      <c r="B550" s="29" t="s">
        <v>156</v>
      </c>
      <c r="C550" s="29" t="s">
        <v>165</v>
      </c>
      <c r="D550" s="30"/>
      <c r="E550" s="30">
        <f>D549*75%</f>
        <v>5.1749999999999999E-3</v>
      </c>
    </row>
    <row r="551" spans="1:5">
      <c r="A551" t="s">
        <v>329</v>
      </c>
      <c r="B551" t="s">
        <v>35</v>
      </c>
      <c r="C551" t="s">
        <v>180</v>
      </c>
      <c r="E551" s="1">
        <v>6.4000000000000003E-3</v>
      </c>
    </row>
    <row r="552" spans="1:5">
      <c r="A552" t="s">
        <v>376</v>
      </c>
      <c r="B552" t="s">
        <v>156</v>
      </c>
      <c r="C552" t="s">
        <v>165</v>
      </c>
      <c r="D552" s="1">
        <v>6.3E-3</v>
      </c>
    </row>
    <row r="553" spans="1:5">
      <c r="A553" t="s">
        <v>377</v>
      </c>
      <c r="B553" t="s">
        <v>157</v>
      </c>
      <c r="C553" t="s">
        <v>165</v>
      </c>
      <c r="D553" s="1">
        <v>6.1999999999999998E-3</v>
      </c>
    </row>
    <row r="554" spans="1:5">
      <c r="A554" s="29" t="s">
        <v>527</v>
      </c>
      <c r="B554" s="29" t="s">
        <v>156</v>
      </c>
      <c r="C554" s="29"/>
      <c r="D554" s="30"/>
      <c r="E554" s="30">
        <f>D553*100%</f>
        <v>6.1999999999999998E-3</v>
      </c>
    </row>
    <row r="555" spans="1:5">
      <c r="A555" t="s">
        <v>378</v>
      </c>
      <c r="B555" t="s">
        <v>35</v>
      </c>
      <c r="C555" t="s">
        <v>171</v>
      </c>
      <c r="D555" s="1">
        <v>5.8999999999999999E-3</v>
      </c>
    </row>
    <row r="556" spans="1:5">
      <c r="A556" s="29" t="s">
        <v>528</v>
      </c>
      <c r="B556" s="29" t="s">
        <v>33</v>
      </c>
      <c r="C556" s="29" t="s">
        <v>211</v>
      </c>
      <c r="D556" s="30"/>
      <c r="E556" s="30">
        <f>D555*25%</f>
        <v>1.475E-3</v>
      </c>
    </row>
    <row r="557" spans="1:5">
      <c r="A557" s="29" t="s">
        <v>316</v>
      </c>
      <c r="B557" s="29" t="s">
        <v>35</v>
      </c>
      <c r="C557" s="29" t="s">
        <v>211</v>
      </c>
      <c r="D557" s="30"/>
      <c r="E557" s="30">
        <f>D555*30%</f>
        <v>1.7699999999999999E-3</v>
      </c>
    </row>
    <row r="558" spans="1:5">
      <c r="A558" s="29" t="s">
        <v>529</v>
      </c>
      <c r="B558" s="29" t="s">
        <v>304</v>
      </c>
      <c r="C558" s="29" t="s">
        <v>165</v>
      </c>
      <c r="D558" s="30"/>
      <c r="E558" s="30">
        <f>D555*10%</f>
        <v>5.9000000000000003E-4</v>
      </c>
    </row>
    <row r="559" spans="1:5">
      <c r="A559" t="s">
        <v>379</v>
      </c>
      <c r="B559" t="s">
        <v>156</v>
      </c>
      <c r="C559" t="s">
        <v>171</v>
      </c>
      <c r="D559" s="1">
        <v>5.7000000000000002E-3</v>
      </c>
    </row>
    <row r="560" spans="1:5">
      <c r="A560" s="29" t="s">
        <v>530</v>
      </c>
      <c r="B560" s="29" t="s">
        <v>156</v>
      </c>
      <c r="C560" s="29" t="s">
        <v>165</v>
      </c>
      <c r="D560" s="30"/>
      <c r="E560" s="30">
        <f>D559*75%</f>
        <v>4.2750000000000002E-3</v>
      </c>
    </row>
    <row r="561" spans="1:5">
      <c r="A561" t="s">
        <v>185</v>
      </c>
      <c r="B561" t="s">
        <v>157</v>
      </c>
      <c r="C561" t="s">
        <v>171</v>
      </c>
      <c r="D561" s="1">
        <v>5.4000000000000003E-3</v>
      </c>
    </row>
    <row r="562" spans="1:5">
      <c r="A562" s="29" t="s">
        <v>531</v>
      </c>
      <c r="B562" s="29" t="s">
        <v>157</v>
      </c>
      <c r="C562" s="29"/>
      <c r="D562" s="30"/>
      <c r="E562" s="30">
        <f>D561*75%</f>
        <v>4.0499999999999998E-3</v>
      </c>
    </row>
    <row r="563" spans="1:5">
      <c r="A563" t="s">
        <v>197</v>
      </c>
      <c r="B563" t="s">
        <v>47</v>
      </c>
      <c r="C563" t="s">
        <v>198</v>
      </c>
      <c r="D563" s="1">
        <v>5.0000000000000001E-3</v>
      </c>
    </row>
    <row r="564" spans="1:5">
      <c r="A564" t="s">
        <v>380</v>
      </c>
      <c r="B564" t="s">
        <v>157</v>
      </c>
      <c r="C564" t="s">
        <v>171</v>
      </c>
      <c r="D564" s="1">
        <v>4.7000000000000002E-3</v>
      </c>
    </row>
    <row r="565" spans="1:5">
      <c r="A565" s="29" t="s">
        <v>532</v>
      </c>
      <c r="B565" s="29" t="s">
        <v>175</v>
      </c>
      <c r="C565" s="29"/>
      <c r="D565" s="30"/>
      <c r="E565" s="30">
        <f>D564*100%</f>
        <v>4.7000000000000002E-3</v>
      </c>
    </row>
    <row r="566" spans="1:5">
      <c r="A566" t="s">
        <v>483</v>
      </c>
      <c r="B566" t="s">
        <v>47</v>
      </c>
      <c r="C566" t="s">
        <v>180</v>
      </c>
      <c r="E566" s="1">
        <v>4.1000000000000003E-3</v>
      </c>
    </row>
    <row r="567" spans="1:5">
      <c r="A567" t="s">
        <v>299</v>
      </c>
      <c r="B567" t="s">
        <v>156</v>
      </c>
      <c r="C567" t="s">
        <v>167</v>
      </c>
      <c r="E567" s="1">
        <v>3.7000000000000002E-3</v>
      </c>
    </row>
    <row r="568" spans="1:5">
      <c r="A568" t="s">
        <v>533</v>
      </c>
      <c r="B568" t="s">
        <v>156</v>
      </c>
      <c r="C568" t="s">
        <v>180</v>
      </c>
      <c r="E568" s="1">
        <v>3.5999999999999999E-3</v>
      </c>
    </row>
    <row r="569" spans="1:5">
      <c r="A569" t="s">
        <v>534</v>
      </c>
      <c r="B569" t="s">
        <v>35</v>
      </c>
      <c r="C569" t="s">
        <v>182</v>
      </c>
      <c r="E569" s="1">
        <v>3.5000000000000001E-3</v>
      </c>
    </row>
    <row r="570" spans="1:5">
      <c r="A570" t="s">
        <v>535</v>
      </c>
      <c r="B570" t="s">
        <v>47</v>
      </c>
      <c r="C570" t="s">
        <v>182</v>
      </c>
      <c r="E570" s="1">
        <v>3.3999999999999998E-3</v>
      </c>
    </row>
    <row r="571" spans="1:5">
      <c r="A571" t="s">
        <v>536</v>
      </c>
      <c r="B571" t="s">
        <v>156</v>
      </c>
      <c r="C571" t="s">
        <v>176</v>
      </c>
      <c r="E571" s="1">
        <v>3.0000000000000001E-3</v>
      </c>
    </row>
    <row r="572" spans="1:5">
      <c r="A572" t="s">
        <v>309</v>
      </c>
      <c r="B572" t="s">
        <v>157</v>
      </c>
      <c r="C572" t="s">
        <v>176</v>
      </c>
      <c r="E572" s="1">
        <v>2.8E-3</v>
      </c>
    </row>
    <row r="573" spans="1:5">
      <c r="A573" t="s">
        <v>487</v>
      </c>
      <c r="B573" t="s">
        <v>156</v>
      </c>
      <c r="C573" t="s">
        <v>176</v>
      </c>
      <c r="E573" s="1">
        <v>2.7000000000000001E-3</v>
      </c>
    </row>
    <row r="574" spans="1:5">
      <c r="A574" t="s">
        <v>537</v>
      </c>
      <c r="B574" t="s">
        <v>156</v>
      </c>
      <c r="C574" t="s">
        <v>165</v>
      </c>
      <c r="E574" s="1">
        <v>2.7000000000000001E-3</v>
      </c>
    </row>
    <row r="575" spans="1:5">
      <c r="A575" t="s">
        <v>538</v>
      </c>
      <c r="B575" t="s">
        <v>156</v>
      </c>
      <c r="C575" t="s">
        <v>180</v>
      </c>
      <c r="E575" s="1">
        <v>2.5000000000000001E-3</v>
      </c>
    </row>
    <row r="576" spans="1:5">
      <c r="A576" t="s">
        <v>539</v>
      </c>
      <c r="B576" t="s">
        <v>156</v>
      </c>
      <c r="C576" t="s">
        <v>180</v>
      </c>
      <c r="E576" s="1">
        <v>2.2000000000000001E-3</v>
      </c>
    </row>
    <row r="577" spans="1:5">
      <c r="A577" t="s">
        <v>348</v>
      </c>
      <c r="B577" t="s">
        <v>156</v>
      </c>
      <c r="C577" t="s">
        <v>171</v>
      </c>
      <c r="E577" s="1">
        <v>2.0999999999999999E-3</v>
      </c>
    </row>
    <row r="578" spans="1:5">
      <c r="A578" t="s">
        <v>540</v>
      </c>
      <c r="B578" t="s">
        <v>156</v>
      </c>
      <c r="C578" t="s">
        <v>165</v>
      </c>
      <c r="E578" s="1">
        <v>2.0999999999999999E-3</v>
      </c>
    </row>
    <row r="579" spans="1:5">
      <c r="A579" t="s">
        <v>400</v>
      </c>
      <c r="B579" t="s">
        <v>47</v>
      </c>
      <c r="C579" t="s">
        <v>180</v>
      </c>
      <c r="E579" s="1">
        <v>2E-3</v>
      </c>
    </row>
    <row r="580" spans="1:5">
      <c r="A580" t="s">
        <v>541</v>
      </c>
      <c r="B580" t="s">
        <v>67</v>
      </c>
      <c r="C580" t="s">
        <v>180</v>
      </c>
      <c r="E580" s="1">
        <v>2E-3</v>
      </c>
    </row>
    <row r="581" spans="1:5">
      <c r="A581" t="s">
        <v>542</v>
      </c>
      <c r="B581" t="s">
        <v>156</v>
      </c>
      <c r="C581" t="s">
        <v>176</v>
      </c>
      <c r="E581" s="1">
        <v>1.9E-3</v>
      </c>
    </row>
    <row r="582" spans="1:5">
      <c r="A582" t="s">
        <v>340</v>
      </c>
      <c r="B582" t="s">
        <v>156</v>
      </c>
      <c r="C582" t="s">
        <v>180</v>
      </c>
      <c r="E582" s="1">
        <v>1.9E-3</v>
      </c>
    </row>
    <row r="583" spans="1:5">
      <c r="A583" t="s">
        <v>296</v>
      </c>
      <c r="B583" t="s">
        <v>47</v>
      </c>
      <c r="C583" t="s">
        <v>180</v>
      </c>
      <c r="E583" s="1">
        <v>1.8E-3</v>
      </c>
    </row>
    <row r="584" spans="1:5">
      <c r="A584" t="s">
        <v>543</v>
      </c>
      <c r="B584" t="s">
        <v>47</v>
      </c>
      <c r="C584" t="s">
        <v>176</v>
      </c>
      <c r="E584" s="1">
        <v>1.6999999999999999E-3</v>
      </c>
    </row>
    <row r="585" spans="1:5">
      <c r="A585" t="s">
        <v>544</v>
      </c>
      <c r="B585" t="s">
        <v>35</v>
      </c>
      <c r="C585" t="s">
        <v>545</v>
      </c>
      <c r="E585" s="1">
        <v>1.5E-3</v>
      </c>
    </row>
    <row r="586" spans="1:5">
      <c r="A586" t="s">
        <v>345</v>
      </c>
      <c r="B586" t="s">
        <v>346</v>
      </c>
      <c r="C586" t="s">
        <v>176</v>
      </c>
      <c r="E586" s="1">
        <v>1.5E-3</v>
      </c>
    </row>
    <row r="587" spans="1:5">
      <c r="A587" t="s">
        <v>334</v>
      </c>
      <c r="B587" t="s">
        <v>156</v>
      </c>
      <c r="C587" t="s">
        <v>176</v>
      </c>
      <c r="E587" s="1">
        <v>1.5E-3</v>
      </c>
    </row>
    <row r="588" spans="1:5">
      <c r="A588" t="s">
        <v>546</v>
      </c>
      <c r="B588" t="s">
        <v>157</v>
      </c>
      <c r="C588" t="s">
        <v>171</v>
      </c>
      <c r="E588" s="1">
        <v>1E-3</v>
      </c>
    </row>
    <row r="589" spans="1:5">
      <c r="A589" s="69" t="s">
        <v>156</v>
      </c>
      <c r="B589" s="69"/>
      <c r="C589" s="69"/>
      <c r="D589" s="70">
        <f>D530+D541+D549+D552+D559</f>
        <v>6.4799999999999996E-2</v>
      </c>
      <c r="E589" s="70">
        <f>SUM(E587,E581:E582,E573:E578,E571,E567:E568,E560,,E554,E550,E542:E543,E540,E538,E535,E531:E533,E529)</f>
        <v>0.21947499999999998</v>
      </c>
    </row>
    <row r="590" spans="1:5">
      <c r="A590" s="69" t="s">
        <v>206</v>
      </c>
      <c r="B590" s="69"/>
      <c r="C590" s="69"/>
      <c r="D590" s="70">
        <v>0</v>
      </c>
      <c r="E590" s="70">
        <v>0</v>
      </c>
    </row>
    <row r="591" spans="1:5">
      <c r="A591" s="69" t="s">
        <v>157</v>
      </c>
      <c r="B591" s="69"/>
      <c r="C591" s="69"/>
      <c r="D591" s="70">
        <f>D564+D561+D553+D548+D545</f>
        <v>3.3300000000000003E-2</v>
      </c>
      <c r="E591" s="70">
        <f>E588+E572+E562+E547+E546</f>
        <v>1.5769999999999999E-2</v>
      </c>
    </row>
    <row r="592" spans="1:5">
      <c r="A592" s="69" t="s">
        <v>207</v>
      </c>
      <c r="B592" s="69"/>
      <c r="C592" s="69"/>
      <c r="D592" s="70">
        <v>0</v>
      </c>
      <c r="E592" s="70">
        <f>E580</f>
        <v>2E-3</v>
      </c>
    </row>
    <row r="593" spans="1:5">
      <c r="A593" s="69" t="s">
        <v>208</v>
      </c>
      <c r="B593" s="69"/>
      <c r="C593" s="69"/>
      <c r="D593" s="70">
        <f>D536</f>
        <v>1.52E-2</v>
      </c>
      <c r="E593" s="70">
        <f>E537+E534</f>
        <v>3.2099999999999997E-2</v>
      </c>
    </row>
    <row r="594" spans="1:5">
      <c r="A594" t="s">
        <v>209</v>
      </c>
      <c r="D594" s="1">
        <f>SUM(D530,D536,D541,D545:D549,D552:D553,D559:D561,D564,)</f>
        <v>0.11329999999999998</v>
      </c>
      <c r="E594" s="1">
        <f>SUM(E532:E535,E538,E540,E567:E568,E571:E578,E580:E582,E586:E588,E565,E562,E560,E558,E554,E550,E546:E547,E529,E531,E537,E542:E543)</f>
        <v>0.27613500000000002</v>
      </c>
    </row>
    <row r="595" spans="1:5">
      <c r="A595" t="s">
        <v>150</v>
      </c>
      <c r="D595" s="1">
        <f>SUM(D527:D587)</f>
        <v>0.43629999999999997</v>
      </c>
      <c r="E595" s="1">
        <f>SUM(E527:E588)</f>
        <v>0.61497999999999997</v>
      </c>
    </row>
    <row r="597" spans="1:5">
      <c r="A597" t="s">
        <v>135</v>
      </c>
    </row>
    <row r="598" spans="1:5">
      <c r="A598" t="s">
        <v>547</v>
      </c>
      <c r="B598" t="s">
        <v>136</v>
      </c>
      <c r="C598" t="s">
        <v>165</v>
      </c>
      <c r="E598" s="1">
        <v>1</v>
      </c>
    </row>
    <row r="599" spans="1:5">
      <c r="A599" s="69" t="s">
        <v>156</v>
      </c>
      <c r="B599" s="69"/>
      <c r="C599" s="69"/>
      <c r="D599" s="70">
        <v>0</v>
      </c>
      <c r="E599" s="70">
        <v>0</v>
      </c>
    </row>
    <row r="600" spans="1:5">
      <c r="A600" s="69" t="s">
        <v>206</v>
      </c>
      <c r="B600" s="69"/>
      <c r="C600" s="69"/>
      <c r="D600" s="70">
        <v>0</v>
      </c>
      <c r="E600" s="70">
        <v>0</v>
      </c>
    </row>
    <row r="601" spans="1:5">
      <c r="A601" s="69" t="s">
        <v>157</v>
      </c>
      <c r="B601" s="69"/>
      <c r="C601" s="69"/>
      <c r="D601" s="70">
        <v>0</v>
      </c>
      <c r="E601" s="70">
        <v>0</v>
      </c>
    </row>
    <row r="602" spans="1:5">
      <c r="A602" s="69" t="s">
        <v>207</v>
      </c>
      <c r="B602" s="69"/>
      <c r="C602" s="69"/>
      <c r="D602" s="70">
        <v>0</v>
      </c>
      <c r="E602" s="70">
        <v>0</v>
      </c>
    </row>
    <row r="603" spans="1:5">
      <c r="A603" s="69" t="s">
        <v>208</v>
      </c>
      <c r="B603" s="69"/>
      <c r="C603" s="69"/>
      <c r="D603" s="70">
        <v>0</v>
      </c>
      <c r="E603" s="70">
        <v>0</v>
      </c>
    </row>
    <row r="604" spans="1:5">
      <c r="A604" t="s">
        <v>209</v>
      </c>
      <c r="D604" s="1">
        <v>0</v>
      </c>
      <c r="E604" s="1">
        <v>0</v>
      </c>
    </row>
    <row r="605" spans="1:5">
      <c r="A605" t="s">
        <v>150</v>
      </c>
      <c r="D605" s="1">
        <f>SUM(D598:D598)</f>
        <v>0</v>
      </c>
      <c r="E605" s="1">
        <f>SUM(E598:E598)</f>
        <v>1</v>
      </c>
    </row>
    <row r="607" spans="1:5">
      <c r="A607" t="s">
        <v>149</v>
      </c>
    </row>
    <row r="608" spans="1:5">
      <c r="A608" t="s">
        <v>548</v>
      </c>
      <c r="B608" t="s">
        <v>67</v>
      </c>
      <c r="C608" t="s">
        <v>165</v>
      </c>
      <c r="D608" s="1">
        <v>0.1651</v>
      </c>
    </row>
    <row r="609" spans="1:5">
      <c r="A609" s="29" t="s">
        <v>549</v>
      </c>
      <c r="B609" s="29" t="s">
        <v>67</v>
      </c>
      <c r="C609" s="29" t="s">
        <v>211</v>
      </c>
      <c r="D609" s="30"/>
      <c r="E609" s="30">
        <f>D608*100%</f>
        <v>0.1651</v>
      </c>
    </row>
    <row r="610" spans="1:5">
      <c r="A610" t="s">
        <v>550</v>
      </c>
      <c r="B610" t="s">
        <v>65</v>
      </c>
      <c r="C610" t="s">
        <v>211</v>
      </c>
      <c r="D610" s="1">
        <v>0.13900000000000001</v>
      </c>
    </row>
    <row r="611" spans="1:5">
      <c r="A611" t="s">
        <v>551</v>
      </c>
      <c r="B611" t="s">
        <v>65</v>
      </c>
      <c r="C611" t="s">
        <v>171</v>
      </c>
      <c r="D611" s="1">
        <v>0.1032</v>
      </c>
    </row>
    <row r="612" spans="1:5">
      <c r="A612" s="29" t="s">
        <v>552</v>
      </c>
      <c r="B612" s="29" t="s">
        <v>65</v>
      </c>
      <c r="C612" s="29" t="s">
        <v>165</v>
      </c>
      <c r="D612" s="30"/>
      <c r="E612" s="30">
        <f>D611*100%</f>
        <v>0.1032</v>
      </c>
    </row>
    <row r="613" spans="1:5">
      <c r="A613" t="s">
        <v>553</v>
      </c>
      <c r="B613" t="s">
        <v>65</v>
      </c>
      <c r="C613" t="s">
        <v>433</v>
      </c>
      <c r="D613" s="1">
        <v>0.10299999999999999</v>
      </c>
    </row>
    <row r="614" spans="1:5">
      <c r="A614" t="s">
        <v>554</v>
      </c>
      <c r="B614" t="s">
        <v>65</v>
      </c>
      <c r="C614" t="s">
        <v>211</v>
      </c>
      <c r="D614" s="1">
        <v>9.4700000000000006E-2</v>
      </c>
    </row>
    <row r="615" spans="1:5">
      <c r="A615" t="s">
        <v>555</v>
      </c>
      <c r="B615" t="s">
        <v>65</v>
      </c>
      <c r="C615" t="s">
        <v>211</v>
      </c>
      <c r="D615" s="1">
        <v>9.2200000000000004E-2</v>
      </c>
    </row>
    <row r="616" spans="1:5">
      <c r="A616" t="s">
        <v>556</v>
      </c>
      <c r="B616" t="s">
        <v>65</v>
      </c>
      <c r="C616" t="s">
        <v>433</v>
      </c>
      <c r="D616" s="1">
        <v>0.09</v>
      </c>
    </row>
    <row r="617" spans="1:5">
      <c r="A617" t="s">
        <v>557</v>
      </c>
      <c r="B617" t="s">
        <v>39</v>
      </c>
      <c r="C617" t="s">
        <v>176</v>
      </c>
      <c r="D617" s="1">
        <v>3.8100000000000002E-2</v>
      </c>
    </row>
    <row r="618" spans="1:5">
      <c r="A618" s="29" t="s">
        <v>558</v>
      </c>
      <c r="B618" s="29" t="s">
        <v>39</v>
      </c>
      <c r="C618" s="29" t="s">
        <v>211</v>
      </c>
      <c r="D618" s="30"/>
      <c r="E618" s="30">
        <f>D617*(5.61+5.61+5.61+2.8+2.8+2.24+2.24)%</f>
        <v>1.0252710000000003E-2</v>
      </c>
    </row>
    <row r="619" spans="1:5">
      <c r="A619" s="29" t="s">
        <v>559</v>
      </c>
      <c r="B619" s="29" t="s">
        <v>39</v>
      </c>
      <c r="C619" s="29" t="s">
        <v>176</v>
      </c>
      <c r="D619" s="30"/>
      <c r="E619" s="30">
        <f>D617*11.23%</f>
        <v>4.2786300000000003E-3</v>
      </c>
    </row>
    <row r="620" spans="1:5">
      <c r="A620" s="29" t="s">
        <v>560</v>
      </c>
      <c r="B620" s="29" t="s">
        <v>113</v>
      </c>
      <c r="C620" s="29" t="s">
        <v>165</v>
      </c>
      <c r="D620" s="30"/>
      <c r="E620" s="30">
        <f>D617*6.74%</f>
        <v>2.5679400000000003E-3</v>
      </c>
    </row>
    <row r="621" spans="1:5">
      <c r="A621" s="29" t="s">
        <v>561</v>
      </c>
      <c r="B621" s="29" t="s">
        <v>39</v>
      </c>
      <c r="C621" s="29" t="s">
        <v>165</v>
      </c>
      <c r="D621" s="30"/>
      <c r="E621" s="30">
        <f>D617*6.74%</f>
        <v>2.5679400000000003E-3</v>
      </c>
    </row>
    <row r="622" spans="1:5">
      <c r="A622" s="29" t="s">
        <v>562</v>
      </c>
      <c r="B622" s="29" t="s">
        <v>39</v>
      </c>
      <c r="C622" s="29" t="s">
        <v>165</v>
      </c>
      <c r="D622" s="30"/>
      <c r="E622" s="30">
        <f>D617*5.61%</f>
        <v>2.1374100000000002E-3</v>
      </c>
    </row>
    <row r="623" spans="1:5">
      <c r="A623" s="29" t="s">
        <v>563</v>
      </c>
      <c r="B623" s="29" t="s">
        <v>39</v>
      </c>
      <c r="C623" s="29" t="s">
        <v>165</v>
      </c>
      <c r="D623" s="30"/>
      <c r="E623" s="30">
        <f>D617*5.61%</f>
        <v>2.1374100000000002E-3</v>
      </c>
    </row>
    <row r="624" spans="1:5">
      <c r="A624" s="29" t="s">
        <v>564</v>
      </c>
      <c r="B624" s="29" t="s">
        <v>39</v>
      </c>
      <c r="C624" s="29" t="s">
        <v>171</v>
      </c>
      <c r="D624" s="30"/>
      <c r="E624" s="30">
        <f>D617*5.61%</f>
        <v>2.1374100000000002E-3</v>
      </c>
    </row>
    <row r="625" spans="1:5">
      <c r="A625" s="29" t="s">
        <v>565</v>
      </c>
      <c r="B625" s="29" t="s">
        <v>39</v>
      </c>
      <c r="C625" s="29" t="s">
        <v>165</v>
      </c>
      <c r="D625" s="30"/>
      <c r="E625" s="30">
        <f>D617*5.61%</f>
        <v>2.1374100000000002E-3</v>
      </c>
    </row>
    <row r="626" spans="1:5">
      <c r="A626" s="29" t="s">
        <v>566</v>
      </c>
      <c r="B626" s="29" t="s">
        <v>39</v>
      </c>
      <c r="C626" s="29" t="s">
        <v>165</v>
      </c>
      <c r="D626" s="30"/>
      <c r="E626" s="30">
        <f>D617*5.61%</f>
        <v>2.1374100000000002E-3</v>
      </c>
    </row>
    <row r="627" spans="1:5">
      <c r="A627" s="29" t="s">
        <v>567</v>
      </c>
      <c r="B627" s="29" t="s">
        <v>39</v>
      </c>
      <c r="C627" s="29" t="s">
        <v>165</v>
      </c>
      <c r="D627" s="30"/>
      <c r="E627" s="30">
        <f>D617*4.49%</f>
        <v>1.7106900000000002E-3</v>
      </c>
    </row>
    <row r="628" spans="1:5">
      <c r="A628" s="29" t="s">
        <v>568</v>
      </c>
      <c r="B628" s="29" t="s">
        <v>39</v>
      </c>
      <c r="C628" s="29" t="s">
        <v>165</v>
      </c>
      <c r="D628" s="30"/>
      <c r="E628" s="30">
        <f>D617*2.8%</f>
        <v>1.0667999999999999E-3</v>
      </c>
    </row>
    <row r="629" spans="1:5">
      <c r="A629" s="29" t="s">
        <v>569</v>
      </c>
      <c r="B629" s="29" t="s">
        <v>39</v>
      </c>
      <c r="C629" s="29" t="s">
        <v>165</v>
      </c>
      <c r="D629" s="30"/>
      <c r="E629" s="30">
        <f>D617*2.24%</f>
        <v>8.5344000000000012E-4</v>
      </c>
    </row>
    <row r="630" spans="1:5">
      <c r="A630" s="29" t="s">
        <v>570</v>
      </c>
      <c r="B630" s="29" t="s">
        <v>39</v>
      </c>
      <c r="C630" s="29" t="s">
        <v>165</v>
      </c>
      <c r="D630" s="30"/>
      <c r="E630" s="30">
        <f>D617*2.24%</f>
        <v>8.5344000000000012E-4</v>
      </c>
    </row>
    <row r="631" spans="1:5">
      <c r="A631" s="29" t="s">
        <v>571</v>
      </c>
      <c r="B631" s="29" t="s">
        <v>39</v>
      </c>
      <c r="C631" s="29" t="s">
        <v>165</v>
      </c>
      <c r="D631" s="30"/>
      <c r="E631" s="30">
        <f>D617*2.24%</f>
        <v>8.5344000000000012E-4</v>
      </c>
    </row>
    <row r="632" spans="1:5">
      <c r="A632" s="29" t="s">
        <v>572</v>
      </c>
      <c r="B632" s="29" t="s">
        <v>39</v>
      </c>
      <c r="C632" s="29" t="s">
        <v>165</v>
      </c>
      <c r="D632" s="30"/>
      <c r="E632" s="30">
        <f>D617*1.12%</f>
        <v>4.2672000000000006E-4</v>
      </c>
    </row>
    <row r="633" spans="1:5">
      <c r="A633" s="69" t="s">
        <v>156</v>
      </c>
      <c r="B633" s="69"/>
      <c r="C633" s="69"/>
      <c r="D633" s="70">
        <v>0</v>
      </c>
      <c r="E633" s="70">
        <v>0</v>
      </c>
    </row>
    <row r="634" spans="1:5">
      <c r="A634" s="69" t="s">
        <v>206</v>
      </c>
      <c r="B634" s="69"/>
      <c r="C634" s="69"/>
      <c r="D634" s="70">
        <v>0</v>
      </c>
      <c r="E634" s="70">
        <v>0</v>
      </c>
    </row>
    <row r="635" spans="1:5">
      <c r="A635" s="69" t="s">
        <v>157</v>
      </c>
      <c r="B635" s="69"/>
      <c r="C635" s="69"/>
      <c r="D635" s="70">
        <v>0</v>
      </c>
      <c r="E635" s="70">
        <v>0</v>
      </c>
    </row>
    <row r="636" spans="1:5">
      <c r="A636" s="69" t="s">
        <v>207</v>
      </c>
      <c r="B636" s="69"/>
      <c r="C636" s="69"/>
      <c r="D636" s="70">
        <f>D608</f>
        <v>0.1651</v>
      </c>
      <c r="E636" s="70">
        <f>E609</f>
        <v>0.1651</v>
      </c>
    </row>
    <row r="637" spans="1:5">
      <c r="A637" s="69" t="s">
        <v>208</v>
      </c>
      <c r="B637" s="69"/>
      <c r="C637" s="69"/>
      <c r="D637" s="70">
        <v>0</v>
      </c>
      <c r="E637" s="70">
        <v>0</v>
      </c>
    </row>
    <row r="638" spans="1:5">
      <c r="A638" t="s">
        <v>209</v>
      </c>
      <c r="D638" s="1">
        <f>D608</f>
        <v>0.1651</v>
      </c>
      <c r="E638" s="1">
        <f>SUM(E609)</f>
        <v>0.1651</v>
      </c>
    </row>
    <row r="639" spans="1:5">
      <c r="A639" t="s">
        <v>150</v>
      </c>
      <c r="D639" s="1">
        <f>SUM(D608:D617)</f>
        <v>0.82530000000000003</v>
      </c>
      <c r="E639" s="1">
        <f>SUM(E608:E632)</f>
        <v>0.30441879999999993</v>
      </c>
    </row>
    <row r="641" spans="1:5">
      <c r="A641" t="s">
        <v>573</v>
      </c>
    </row>
    <row r="642" spans="1:5">
      <c r="A642" t="s">
        <v>574</v>
      </c>
      <c r="B642" t="s">
        <v>69</v>
      </c>
      <c r="C642" t="s">
        <v>165</v>
      </c>
      <c r="D642" s="1">
        <v>1</v>
      </c>
    </row>
    <row r="643" spans="1:5">
      <c r="A643" s="29" t="s">
        <v>575</v>
      </c>
      <c r="B643" s="29" t="s">
        <v>67</v>
      </c>
      <c r="C643" s="29" t="s">
        <v>165</v>
      </c>
      <c r="D643" s="30"/>
      <c r="E643" s="30">
        <f>D642*100%</f>
        <v>1</v>
      </c>
    </row>
    <row r="644" spans="1:5">
      <c r="A644" s="69" t="s">
        <v>156</v>
      </c>
      <c r="B644" s="69"/>
      <c r="C644" s="69"/>
      <c r="D644" s="70">
        <v>0</v>
      </c>
      <c r="E644" s="70">
        <v>0</v>
      </c>
    </row>
    <row r="645" spans="1:5">
      <c r="A645" s="69" t="s">
        <v>206</v>
      </c>
      <c r="B645" s="69"/>
      <c r="C645" s="69"/>
      <c r="D645" s="70">
        <v>0</v>
      </c>
      <c r="E645" s="70">
        <v>0</v>
      </c>
    </row>
    <row r="646" spans="1:5">
      <c r="A646" s="69" t="s">
        <v>157</v>
      </c>
      <c r="B646" s="69"/>
      <c r="C646" s="69"/>
      <c r="D646" s="70">
        <v>0</v>
      </c>
      <c r="E646" s="70">
        <v>0</v>
      </c>
    </row>
    <row r="647" spans="1:5">
      <c r="A647" s="69" t="s">
        <v>207</v>
      </c>
      <c r="B647" s="69"/>
      <c r="C647" s="69"/>
      <c r="D647" s="70">
        <v>0</v>
      </c>
      <c r="E647" s="70">
        <f>E643</f>
        <v>1</v>
      </c>
    </row>
    <row r="648" spans="1:5">
      <c r="A648" s="69" t="s">
        <v>208</v>
      </c>
      <c r="B648" s="69"/>
      <c r="C648" s="69"/>
      <c r="D648" s="70">
        <v>0</v>
      </c>
      <c r="E648" s="70">
        <v>0</v>
      </c>
    </row>
    <row r="649" spans="1:5">
      <c r="A649" t="s">
        <v>209</v>
      </c>
      <c r="D649" s="1">
        <v>0</v>
      </c>
      <c r="E649" s="1">
        <f>E643</f>
        <v>1</v>
      </c>
    </row>
    <row r="650" spans="1:5">
      <c r="A650" t="s">
        <v>150</v>
      </c>
      <c r="D650" s="1">
        <f>SUM(D642:D643)</f>
        <v>1</v>
      </c>
      <c r="E650" s="1">
        <f>SUM(E642:E643)</f>
        <v>1</v>
      </c>
    </row>
    <row r="652" spans="1:5">
      <c r="A652" t="s">
        <v>64</v>
      </c>
    </row>
    <row r="653" spans="1:5">
      <c r="A653" t="s">
        <v>576</v>
      </c>
      <c r="B653" t="s">
        <v>69</v>
      </c>
      <c r="C653" t="s">
        <v>165</v>
      </c>
      <c r="D653" s="1">
        <v>1</v>
      </c>
    </row>
    <row r="654" spans="1:5">
      <c r="A654" s="29" t="s">
        <v>574</v>
      </c>
      <c r="B654" s="29" t="s">
        <v>69</v>
      </c>
      <c r="C654" s="29" t="s">
        <v>165</v>
      </c>
      <c r="D654" s="30"/>
      <c r="E654" s="30">
        <v>1</v>
      </c>
    </row>
    <row r="655" spans="1:5">
      <c r="A655" s="69" t="s">
        <v>156</v>
      </c>
      <c r="B655" s="69"/>
      <c r="C655" s="69"/>
      <c r="D655" s="70">
        <v>0</v>
      </c>
      <c r="E655" s="70">
        <v>0</v>
      </c>
    </row>
    <row r="656" spans="1:5">
      <c r="A656" s="69" t="s">
        <v>206</v>
      </c>
      <c r="B656" s="69"/>
      <c r="C656" s="69"/>
      <c r="D656" s="70">
        <v>0</v>
      </c>
      <c r="E656" s="70">
        <v>0</v>
      </c>
    </row>
    <row r="657" spans="1:5">
      <c r="A657" s="69" t="s">
        <v>157</v>
      </c>
      <c r="B657" s="69"/>
      <c r="C657" s="69"/>
      <c r="D657" s="70">
        <v>0</v>
      </c>
      <c r="E657" s="70">
        <v>0</v>
      </c>
    </row>
    <row r="658" spans="1:5">
      <c r="A658" s="69" t="s">
        <v>207</v>
      </c>
      <c r="B658" s="69"/>
      <c r="C658" s="69"/>
      <c r="D658" s="70">
        <v>0</v>
      </c>
      <c r="E658" s="70">
        <v>0</v>
      </c>
    </row>
    <row r="659" spans="1:5">
      <c r="A659" s="69" t="s">
        <v>208</v>
      </c>
      <c r="B659" s="69"/>
      <c r="C659" s="69"/>
      <c r="D659" s="70">
        <v>0</v>
      </c>
      <c r="E659" s="70">
        <v>0</v>
      </c>
    </row>
    <row r="660" spans="1:5">
      <c r="A660" t="s">
        <v>209</v>
      </c>
      <c r="D660" s="1">
        <v>0</v>
      </c>
      <c r="E660" s="1">
        <v>0</v>
      </c>
    </row>
    <row r="661" spans="1:5">
      <c r="A661" t="s">
        <v>150</v>
      </c>
      <c r="D661" s="1">
        <f>SUM(D653:D654)</f>
        <v>1</v>
      </c>
      <c r="E661" s="1">
        <f>SUM(E653:E654)</f>
        <v>1</v>
      </c>
    </row>
    <row r="663" spans="1:5" ht="28.9">
      <c r="A663" s="32" t="s">
        <v>68</v>
      </c>
    </row>
    <row r="664" spans="1:5">
      <c r="A664" t="s">
        <v>574</v>
      </c>
      <c r="B664" t="s">
        <v>69</v>
      </c>
      <c r="C664" t="s">
        <v>165</v>
      </c>
      <c r="D664" s="1">
        <v>1</v>
      </c>
    </row>
    <row r="665" spans="1:5">
      <c r="A665" s="29" t="s">
        <v>575</v>
      </c>
      <c r="B665" s="29" t="s">
        <v>67</v>
      </c>
      <c r="C665" s="29" t="s">
        <v>165</v>
      </c>
      <c r="D665" s="30"/>
      <c r="E665" s="30">
        <f>D664*100%</f>
        <v>1</v>
      </c>
    </row>
    <row r="666" spans="1:5">
      <c r="A666" s="69" t="s">
        <v>156</v>
      </c>
      <c r="B666" s="69"/>
      <c r="C666" s="69"/>
      <c r="D666" s="70">
        <v>0</v>
      </c>
      <c r="E666" s="70">
        <v>0</v>
      </c>
    </row>
    <row r="667" spans="1:5">
      <c r="A667" s="69" t="s">
        <v>206</v>
      </c>
      <c r="B667" s="69"/>
      <c r="C667" s="69"/>
      <c r="D667" s="70">
        <v>0</v>
      </c>
      <c r="E667" s="70">
        <v>0</v>
      </c>
    </row>
    <row r="668" spans="1:5">
      <c r="A668" s="69" t="s">
        <v>157</v>
      </c>
      <c r="B668" s="69"/>
      <c r="C668" s="69"/>
      <c r="D668" s="70">
        <v>0</v>
      </c>
      <c r="E668" s="70">
        <v>0</v>
      </c>
    </row>
    <row r="669" spans="1:5">
      <c r="A669" s="69" t="s">
        <v>207</v>
      </c>
      <c r="B669" s="69"/>
      <c r="C669" s="69"/>
      <c r="D669" s="70">
        <v>0</v>
      </c>
      <c r="E669" s="70">
        <f>E665</f>
        <v>1</v>
      </c>
    </row>
    <row r="670" spans="1:5">
      <c r="A670" s="69" t="s">
        <v>208</v>
      </c>
      <c r="B670" s="69"/>
      <c r="C670" s="69"/>
      <c r="D670" s="70">
        <v>0</v>
      </c>
      <c r="E670" s="70">
        <v>0</v>
      </c>
    </row>
    <row r="671" spans="1:5">
      <c r="A671" t="s">
        <v>209</v>
      </c>
      <c r="D671" s="1">
        <v>0</v>
      </c>
      <c r="E671" s="1">
        <f>E665</f>
        <v>1</v>
      </c>
    </row>
    <row r="672" spans="1:5">
      <c r="A672" t="s">
        <v>150</v>
      </c>
      <c r="D672" s="1">
        <f>SUM(D664:D665)</f>
        <v>1</v>
      </c>
      <c r="E672" s="1">
        <f>SUM(E664:E665)</f>
        <v>1</v>
      </c>
    </row>
    <row r="674" spans="1:5">
      <c r="A674" t="s">
        <v>114</v>
      </c>
    </row>
    <row r="675" spans="1:5">
      <c r="A675" t="s">
        <v>577</v>
      </c>
      <c r="B675" t="s">
        <v>33</v>
      </c>
      <c r="C675" t="s">
        <v>165</v>
      </c>
      <c r="D675" s="1">
        <v>1</v>
      </c>
    </row>
    <row r="676" spans="1:5">
      <c r="A676" t="s">
        <v>578</v>
      </c>
      <c r="B676" t="s">
        <v>33</v>
      </c>
      <c r="C676" t="s">
        <v>165</v>
      </c>
      <c r="E676" s="1">
        <f>D675*50.01%</f>
        <v>0.50009999999999999</v>
      </c>
    </row>
    <row r="677" spans="1:5">
      <c r="A677" t="s">
        <v>579</v>
      </c>
      <c r="B677" t="s">
        <v>33</v>
      </c>
      <c r="C677" t="s">
        <v>180</v>
      </c>
      <c r="E677" s="1">
        <f>D675*49.99%</f>
        <v>0.49990000000000001</v>
      </c>
    </row>
    <row r="678" spans="1:5">
      <c r="A678" s="69" t="s">
        <v>156</v>
      </c>
      <c r="B678" s="69"/>
      <c r="C678" s="69"/>
      <c r="D678" s="70">
        <v>0</v>
      </c>
      <c r="E678" s="70">
        <v>0</v>
      </c>
    </row>
    <row r="679" spans="1:5">
      <c r="A679" s="69" t="s">
        <v>206</v>
      </c>
      <c r="B679" s="69"/>
      <c r="C679" s="69"/>
      <c r="D679" s="70">
        <v>0</v>
      </c>
      <c r="E679" s="70">
        <v>0</v>
      </c>
    </row>
    <row r="680" spans="1:5">
      <c r="A680" s="69" t="s">
        <v>157</v>
      </c>
      <c r="B680" s="69"/>
      <c r="C680" s="69"/>
      <c r="D680" s="70">
        <v>0</v>
      </c>
      <c r="E680" s="70">
        <v>0</v>
      </c>
    </row>
    <row r="681" spans="1:5">
      <c r="A681" s="69" t="s">
        <v>207</v>
      </c>
      <c r="B681" s="69"/>
      <c r="C681" s="69"/>
      <c r="D681" s="70">
        <v>0</v>
      </c>
      <c r="E681" s="70">
        <v>0</v>
      </c>
    </row>
    <row r="682" spans="1:5">
      <c r="A682" s="69" t="s">
        <v>208</v>
      </c>
      <c r="B682" s="69"/>
      <c r="C682" s="69"/>
      <c r="D682" s="70">
        <v>0</v>
      </c>
      <c r="E682" s="70">
        <v>0</v>
      </c>
    </row>
    <row r="683" spans="1:5">
      <c r="A683" t="s">
        <v>209</v>
      </c>
      <c r="D683" s="1">
        <v>0</v>
      </c>
      <c r="E683" s="1">
        <v>0</v>
      </c>
    </row>
    <row r="684" spans="1:5">
      <c r="A684" t="s">
        <v>150</v>
      </c>
      <c r="D684" s="1">
        <f>SUM(D675:D677)</f>
        <v>1</v>
      </c>
      <c r="E684" s="1">
        <f>SUM(E675:E677)</f>
        <v>1</v>
      </c>
    </row>
    <row r="686" spans="1:5" ht="28.9">
      <c r="A686" s="32" t="s">
        <v>580</v>
      </c>
    </row>
    <row r="687" spans="1:5">
      <c r="A687" t="s">
        <v>166</v>
      </c>
      <c r="B687" t="s">
        <v>35</v>
      </c>
      <c r="C687" t="s">
        <v>167</v>
      </c>
      <c r="D687" s="1">
        <v>0.17760000000000001</v>
      </c>
    </row>
    <row r="688" spans="1:5">
      <c r="A688" t="s">
        <v>581</v>
      </c>
      <c r="B688" t="s">
        <v>35</v>
      </c>
      <c r="C688" t="s">
        <v>167</v>
      </c>
      <c r="E688" s="1">
        <v>0.17399999999999999</v>
      </c>
    </row>
    <row r="689" spans="1:5">
      <c r="A689" t="s">
        <v>582</v>
      </c>
      <c r="B689" t="s">
        <v>62</v>
      </c>
      <c r="C689" t="s">
        <v>169</v>
      </c>
      <c r="D689" s="1">
        <v>0.10290000000000001</v>
      </c>
    </row>
    <row r="690" spans="1:5">
      <c r="A690" t="s">
        <v>583</v>
      </c>
      <c r="B690" t="s">
        <v>35</v>
      </c>
      <c r="C690" t="s">
        <v>171</v>
      </c>
      <c r="E690" s="1">
        <v>8.9800000000000005E-2</v>
      </c>
    </row>
    <row r="691" spans="1:5">
      <c r="A691" t="s">
        <v>584</v>
      </c>
      <c r="B691" t="s">
        <v>35</v>
      </c>
      <c r="C691" t="s">
        <v>171</v>
      </c>
      <c r="D691" s="1">
        <v>8.9800000000000005E-2</v>
      </c>
    </row>
    <row r="692" spans="1:5">
      <c r="A692" t="s">
        <v>585</v>
      </c>
      <c r="B692" t="s">
        <v>156</v>
      </c>
      <c r="C692" t="s">
        <v>165</v>
      </c>
      <c r="E692" s="1">
        <v>8.2699999999999996E-2</v>
      </c>
    </row>
    <row r="693" spans="1:5">
      <c r="A693" t="s">
        <v>172</v>
      </c>
      <c r="B693" t="s">
        <v>62</v>
      </c>
      <c r="C693" t="s">
        <v>173</v>
      </c>
      <c r="D693" s="1">
        <v>0.08</v>
      </c>
    </row>
    <row r="694" spans="1:5">
      <c r="A694" t="s">
        <v>586</v>
      </c>
      <c r="B694" t="s">
        <v>157</v>
      </c>
      <c r="C694" t="s">
        <v>171</v>
      </c>
      <c r="E694" s="1">
        <v>6.4000000000000001E-2</v>
      </c>
    </row>
    <row r="695" spans="1:5">
      <c r="A695" t="s">
        <v>174</v>
      </c>
      <c r="B695" t="s">
        <v>175</v>
      </c>
      <c r="C695" t="s">
        <v>176</v>
      </c>
      <c r="D695" s="1">
        <v>6.25E-2</v>
      </c>
    </row>
    <row r="696" spans="1:5">
      <c r="A696" t="s">
        <v>587</v>
      </c>
      <c r="B696" t="s">
        <v>62</v>
      </c>
      <c r="C696" t="s">
        <v>176</v>
      </c>
      <c r="D696" s="1">
        <v>5.7299999999999997E-2</v>
      </c>
    </row>
    <row r="697" spans="1:5">
      <c r="A697" t="s">
        <v>588</v>
      </c>
      <c r="B697" t="s">
        <v>175</v>
      </c>
      <c r="C697" t="s">
        <v>176</v>
      </c>
      <c r="E697" s="1">
        <v>4.9799999999999997E-2</v>
      </c>
    </row>
    <row r="698" spans="1:5">
      <c r="A698" t="s">
        <v>178</v>
      </c>
      <c r="B698" t="s">
        <v>157</v>
      </c>
      <c r="C698" t="s">
        <v>176</v>
      </c>
      <c r="D698" s="1">
        <v>4.7899999999999998E-2</v>
      </c>
    </row>
    <row r="699" spans="1:5">
      <c r="A699" s="29" t="s">
        <v>589</v>
      </c>
      <c r="B699" s="29" t="s">
        <v>157</v>
      </c>
      <c r="C699" s="29" t="s">
        <v>165</v>
      </c>
      <c r="D699" s="30"/>
      <c r="E699" s="30">
        <f>D698*100%</f>
        <v>4.7899999999999998E-2</v>
      </c>
    </row>
    <row r="700" spans="1:5">
      <c r="A700" t="s">
        <v>179</v>
      </c>
      <c r="B700" t="s">
        <v>157</v>
      </c>
      <c r="C700" t="s">
        <v>180</v>
      </c>
      <c r="D700" s="1">
        <v>3.1600000000000003E-2</v>
      </c>
    </row>
    <row r="701" spans="1:5">
      <c r="A701" s="29" t="s">
        <v>590</v>
      </c>
      <c r="B701" s="29" t="s">
        <v>591</v>
      </c>
      <c r="C701" s="29" t="s">
        <v>176</v>
      </c>
      <c r="D701" s="30"/>
      <c r="E701" s="30">
        <f>D700*8%</f>
        <v>2.5280000000000003E-3</v>
      </c>
    </row>
    <row r="702" spans="1:5">
      <c r="A702" s="29" t="s">
        <v>592</v>
      </c>
      <c r="B702" s="29" t="s">
        <v>156</v>
      </c>
      <c r="C702" s="29" t="s">
        <v>176</v>
      </c>
      <c r="D702" s="30"/>
      <c r="E702" s="30">
        <f>D700*1.67%</f>
        <v>5.2772000000000008E-4</v>
      </c>
    </row>
    <row r="703" spans="1:5">
      <c r="A703" s="29" t="s">
        <v>593</v>
      </c>
      <c r="B703" s="29" t="s">
        <v>157</v>
      </c>
      <c r="C703" s="29" t="s">
        <v>165</v>
      </c>
      <c r="D703" s="30"/>
      <c r="E703" s="30">
        <f>D700*1.41%</f>
        <v>4.4556000000000001E-4</v>
      </c>
    </row>
    <row r="704" spans="1:5">
      <c r="A704" s="29" t="s">
        <v>594</v>
      </c>
      <c r="B704" s="29" t="s">
        <v>156</v>
      </c>
      <c r="C704" s="29" t="s">
        <v>176</v>
      </c>
      <c r="D704" s="30"/>
      <c r="E704" s="30">
        <f>D700*1.37%</f>
        <v>4.3292000000000005E-4</v>
      </c>
    </row>
    <row r="705" spans="1:5">
      <c r="A705" s="29" t="s">
        <v>595</v>
      </c>
      <c r="B705" s="29" t="s">
        <v>203</v>
      </c>
      <c r="C705" s="29" t="s">
        <v>176</v>
      </c>
      <c r="D705" s="30"/>
      <c r="E705" s="30">
        <f>D700*1.37%</f>
        <v>4.3292000000000005E-4</v>
      </c>
    </row>
    <row r="706" spans="1:5">
      <c r="A706" s="29" t="s">
        <v>374</v>
      </c>
      <c r="B706" s="29" t="s">
        <v>157</v>
      </c>
      <c r="C706" s="29" t="s">
        <v>193</v>
      </c>
      <c r="D706" s="30"/>
      <c r="E706" s="30">
        <f>D700*0.45%</f>
        <v>1.4220000000000004E-4</v>
      </c>
    </row>
    <row r="707" spans="1:5">
      <c r="A707" s="29" t="s">
        <v>596</v>
      </c>
      <c r="B707" s="29" t="s">
        <v>156</v>
      </c>
      <c r="C707" s="29" t="s">
        <v>171</v>
      </c>
      <c r="D707" s="30"/>
      <c r="E707" s="30">
        <f>D700*0.34%</f>
        <v>1.0744000000000001E-4</v>
      </c>
    </row>
    <row r="708" spans="1:5">
      <c r="A708" s="29" t="s">
        <v>597</v>
      </c>
      <c r="B708" s="29" t="s">
        <v>157</v>
      </c>
      <c r="C708" s="29" t="s">
        <v>180</v>
      </c>
      <c r="D708" s="30"/>
      <c r="E708" s="30">
        <f>D700*0.21%</f>
        <v>6.6360000000000008E-5</v>
      </c>
    </row>
    <row r="709" spans="1:5">
      <c r="A709" s="29" t="s">
        <v>598</v>
      </c>
      <c r="B709" s="29" t="s">
        <v>39</v>
      </c>
      <c r="C709" s="29" t="s">
        <v>176</v>
      </c>
      <c r="D709" s="30"/>
      <c r="E709" s="30">
        <f>D700*0.21%</f>
        <v>6.6360000000000008E-5</v>
      </c>
    </row>
    <row r="710" spans="1:5">
      <c r="A710" s="29" t="s">
        <v>599</v>
      </c>
      <c r="B710" s="29" t="s">
        <v>157</v>
      </c>
      <c r="C710" s="29" t="s">
        <v>182</v>
      </c>
      <c r="D710" s="30"/>
      <c r="E710" s="30">
        <f>D700*0.18%</f>
        <v>5.6880000000000004E-5</v>
      </c>
    </row>
    <row r="711" spans="1:5">
      <c r="A711" s="29" t="s">
        <v>600</v>
      </c>
      <c r="B711" s="29" t="s">
        <v>41</v>
      </c>
      <c r="C711" s="29" t="s">
        <v>165</v>
      </c>
      <c r="D711" s="30"/>
      <c r="E711" s="30">
        <f>D700*0.17%</f>
        <v>5.3720000000000007E-5</v>
      </c>
    </row>
    <row r="712" spans="1:5">
      <c r="A712" s="29" t="s">
        <v>601</v>
      </c>
      <c r="B712" s="29" t="s">
        <v>602</v>
      </c>
      <c r="C712" s="29" t="s">
        <v>171</v>
      </c>
      <c r="D712" s="30"/>
      <c r="E712" s="30">
        <f>D700*0.17%</f>
        <v>5.3720000000000007E-5</v>
      </c>
    </row>
    <row r="713" spans="1:5">
      <c r="A713" s="29" t="s">
        <v>603</v>
      </c>
      <c r="B713" s="29" t="s">
        <v>604</v>
      </c>
      <c r="C713" s="29" t="s">
        <v>171</v>
      </c>
      <c r="D713" s="30"/>
      <c r="E713" s="30">
        <f>D700*0.12%</f>
        <v>3.7920000000000003E-5</v>
      </c>
    </row>
    <row r="714" spans="1:5">
      <c r="A714" s="29" t="s">
        <v>605</v>
      </c>
      <c r="B714" s="29" t="s">
        <v>61</v>
      </c>
      <c r="C714" s="29" t="s">
        <v>165</v>
      </c>
      <c r="D714" s="30"/>
      <c r="E714" s="30">
        <f>D700*0.08%</f>
        <v>2.5280000000000005E-5</v>
      </c>
    </row>
    <row r="715" spans="1:5">
      <c r="A715" s="29" t="s">
        <v>606</v>
      </c>
      <c r="B715" s="29" t="s">
        <v>39</v>
      </c>
      <c r="C715" s="29" t="s">
        <v>171</v>
      </c>
      <c r="D715" s="30"/>
      <c r="E715" s="30">
        <f>D700*0.06%</f>
        <v>1.8960000000000001E-5</v>
      </c>
    </row>
    <row r="716" spans="1:5">
      <c r="A716" s="29" t="s">
        <v>607</v>
      </c>
      <c r="B716" s="29" t="s">
        <v>304</v>
      </c>
      <c r="C716" s="29" t="s">
        <v>171</v>
      </c>
      <c r="D716" s="30"/>
      <c r="E716" s="30">
        <f>0.06%*D700</f>
        <v>1.8960000000000001E-5</v>
      </c>
    </row>
    <row r="717" spans="1:5">
      <c r="A717" s="29" t="s">
        <v>608</v>
      </c>
      <c r="B717" s="29" t="s">
        <v>156</v>
      </c>
      <c r="C717" s="29" t="s">
        <v>176</v>
      </c>
      <c r="D717" s="30"/>
      <c r="E717" s="30">
        <f>D700*0.05%</f>
        <v>1.5800000000000001E-5</v>
      </c>
    </row>
    <row r="718" spans="1:5">
      <c r="A718" s="29" t="s">
        <v>609</v>
      </c>
      <c r="B718" s="29" t="s">
        <v>156</v>
      </c>
      <c r="C718" s="29" t="s">
        <v>165</v>
      </c>
      <c r="D718" s="30"/>
      <c r="E718" s="30">
        <f>D700*0.03%</f>
        <v>9.4800000000000007E-6</v>
      </c>
    </row>
    <row r="719" spans="1:5">
      <c r="A719" s="29" t="s">
        <v>610</v>
      </c>
      <c r="B719" s="29" t="s">
        <v>113</v>
      </c>
      <c r="C719" s="29" t="s">
        <v>176</v>
      </c>
      <c r="D719" s="30"/>
      <c r="E719" s="30">
        <f>D700*0.02%</f>
        <v>6.3200000000000013E-6</v>
      </c>
    </row>
    <row r="720" spans="1:5">
      <c r="A720" s="29" t="s">
        <v>611</v>
      </c>
      <c r="B720" s="29" t="s">
        <v>156</v>
      </c>
      <c r="C720" s="29" t="s">
        <v>176</v>
      </c>
      <c r="D720" s="30"/>
      <c r="E720" s="30">
        <f>0.02%*D700</f>
        <v>6.3200000000000013E-6</v>
      </c>
    </row>
    <row r="721" spans="1:5">
      <c r="A721" t="s">
        <v>181</v>
      </c>
      <c r="B721" t="s">
        <v>35</v>
      </c>
      <c r="C721" t="s">
        <v>182</v>
      </c>
      <c r="D721" s="1">
        <v>2.75E-2</v>
      </c>
    </row>
    <row r="722" spans="1:5">
      <c r="A722" s="29" t="s">
        <v>612</v>
      </c>
      <c r="B722" s="29" t="s">
        <v>35</v>
      </c>
      <c r="C722" s="29" t="s">
        <v>180</v>
      </c>
      <c r="D722" s="30"/>
      <c r="E722" s="30">
        <f>D721*99.94%</f>
        <v>2.7483499999999998E-2</v>
      </c>
    </row>
    <row r="723" spans="1:5">
      <c r="A723" s="29" t="s">
        <v>234</v>
      </c>
      <c r="B723" s="29" t="s">
        <v>62</v>
      </c>
      <c r="C723" s="29" t="s">
        <v>198</v>
      </c>
      <c r="D723" s="30"/>
      <c r="E723" s="30">
        <f>D721*0.06%</f>
        <v>1.6499999999999998E-5</v>
      </c>
    </row>
    <row r="724" spans="1:5">
      <c r="A724" t="s">
        <v>230</v>
      </c>
      <c r="B724" t="s">
        <v>156</v>
      </c>
      <c r="C724" t="s">
        <v>180</v>
      </c>
      <c r="E724" s="1">
        <v>2.7099999999999999E-2</v>
      </c>
    </row>
    <row r="725" spans="1:5">
      <c r="A725" t="s">
        <v>473</v>
      </c>
      <c r="B725" t="s">
        <v>156</v>
      </c>
      <c r="C725" t="s">
        <v>165</v>
      </c>
      <c r="E725" s="1">
        <v>2.35E-2</v>
      </c>
    </row>
    <row r="726" spans="1:5">
      <c r="A726" t="s">
        <v>613</v>
      </c>
      <c r="B726" t="s">
        <v>62</v>
      </c>
      <c r="C726" t="s">
        <v>176</v>
      </c>
      <c r="D726" s="1">
        <v>1.9900000000000001E-2</v>
      </c>
    </row>
    <row r="727" spans="1:5">
      <c r="A727" t="s">
        <v>184</v>
      </c>
      <c r="B727" t="s">
        <v>156</v>
      </c>
      <c r="C727" t="s">
        <v>165</v>
      </c>
      <c r="D727" s="1">
        <v>1.9599999999999999E-2</v>
      </c>
    </row>
    <row r="728" spans="1:5">
      <c r="A728" s="29" t="s">
        <v>614</v>
      </c>
      <c r="B728" s="29" t="s">
        <v>156</v>
      </c>
      <c r="C728" s="29" t="s">
        <v>165</v>
      </c>
      <c r="D728" s="30"/>
      <c r="E728" s="30">
        <f>D727*50%</f>
        <v>9.7999999999999997E-3</v>
      </c>
    </row>
    <row r="729" spans="1:5">
      <c r="A729" s="29" t="s">
        <v>615</v>
      </c>
      <c r="B729" s="29" t="s">
        <v>156</v>
      </c>
      <c r="C729" s="29" t="s">
        <v>165</v>
      </c>
      <c r="D729" s="30"/>
      <c r="E729" s="30">
        <f>D727*0.33%</f>
        <v>6.4679999999999997E-5</v>
      </c>
    </row>
    <row r="730" spans="1:5">
      <c r="A730" t="s">
        <v>185</v>
      </c>
      <c r="B730" t="s">
        <v>157</v>
      </c>
      <c r="C730" t="s">
        <v>171</v>
      </c>
      <c r="D730" s="31">
        <v>1.9400000000000001E-2</v>
      </c>
      <c r="E730" s="31"/>
    </row>
    <row r="731" spans="1:5">
      <c r="A731" s="29" t="s">
        <v>531</v>
      </c>
      <c r="B731" s="29" t="s">
        <v>157</v>
      </c>
      <c r="C731" s="29" t="s">
        <v>176</v>
      </c>
      <c r="D731" s="30"/>
      <c r="E731" s="30">
        <f>D730*75%</f>
        <v>1.455E-2</v>
      </c>
    </row>
    <row r="732" spans="1:5">
      <c r="A732" t="s">
        <v>328</v>
      </c>
      <c r="B732" t="s">
        <v>156</v>
      </c>
      <c r="C732" t="s">
        <v>165</v>
      </c>
      <c r="E732" s="1">
        <v>1.6500000000000001E-2</v>
      </c>
    </row>
    <row r="733" spans="1:5">
      <c r="A733" t="s">
        <v>616</v>
      </c>
      <c r="B733" t="s">
        <v>156</v>
      </c>
      <c r="C733" t="s">
        <v>165</v>
      </c>
      <c r="D733" s="1">
        <v>1.61E-2</v>
      </c>
    </row>
    <row r="734" spans="1:5">
      <c r="A734" s="29" t="s">
        <v>617</v>
      </c>
      <c r="B734" s="29" t="s">
        <v>156</v>
      </c>
      <c r="C734" s="29" t="s">
        <v>165</v>
      </c>
      <c r="D734" s="30"/>
      <c r="E734" s="30">
        <f>D733*75%</f>
        <v>1.2074999999999999E-2</v>
      </c>
    </row>
    <row r="735" spans="1:5">
      <c r="A735" s="29" t="s">
        <v>618</v>
      </c>
      <c r="B735" s="29" t="s">
        <v>62</v>
      </c>
      <c r="C735" s="29" t="s">
        <v>211</v>
      </c>
      <c r="D735" s="30"/>
      <c r="E735" s="30">
        <f>D733*5%</f>
        <v>8.0500000000000005E-4</v>
      </c>
    </row>
    <row r="736" spans="1:5">
      <c r="A736" t="s">
        <v>619</v>
      </c>
      <c r="B736" t="s">
        <v>156</v>
      </c>
      <c r="C736" t="s">
        <v>171</v>
      </c>
      <c r="E736" s="1">
        <v>1.47E-2</v>
      </c>
    </row>
    <row r="737" spans="1:5">
      <c r="A737" t="s">
        <v>620</v>
      </c>
      <c r="B737" t="s">
        <v>156</v>
      </c>
      <c r="C737" t="s">
        <v>180</v>
      </c>
      <c r="E737" s="1">
        <v>1.0699999999999999E-2</v>
      </c>
    </row>
    <row r="738" spans="1:5">
      <c r="A738" t="s">
        <v>187</v>
      </c>
      <c r="B738" t="s">
        <v>156</v>
      </c>
      <c r="C738" t="s">
        <v>171</v>
      </c>
      <c r="D738" s="1">
        <v>1.06E-2</v>
      </c>
    </row>
    <row r="739" spans="1:5">
      <c r="A739" t="s">
        <v>188</v>
      </c>
      <c r="B739" t="s">
        <v>156</v>
      </c>
      <c r="C739" t="s">
        <v>165</v>
      </c>
      <c r="D739" s="1">
        <v>1.06E-2</v>
      </c>
    </row>
    <row r="740" spans="1:5">
      <c r="A740" s="29" t="s">
        <v>621</v>
      </c>
      <c r="B740" s="29" t="s">
        <v>156</v>
      </c>
      <c r="C740" s="29" t="s">
        <v>165</v>
      </c>
      <c r="D740" s="30"/>
      <c r="E740" s="30">
        <f>D739*50%</f>
        <v>5.3E-3</v>
      </c>
    </row>
    <row r="741" spans="1:5">
      <c r="A741" t="s">
        <v>189</v>
      </c>
      <c r="B741" t="s">
        <v>35</v>
      </c>
      <c r="C741" t="s">
        <v>165</v>
      </c>
      <c r="D741" s="1">
        <v>9.9000000000000008E-3</v>
      </c>
    </row>
    <row r="742" spans="1:5">
      <c r="A742" s="29" t="s">
        <v>622</v>
      </c>
      <c r="B742" s="29" t="s">
        <v>35</v>
      </c>
      <c r="C742" s="29" t="s">
        <v>180</v>
      </c>
      <c r="D742" s="30"/>
      <c r="E742" s="30">
        <f>D741*50%</f>
        <v>4.9500000000000004E-3</v>
      </c>
    </row>
    <row r="743" spans="1:5">
      <c r="A743" s="29" t="s">
        <v>623</v>
      </c>
      <c r="B743" s="29" t="s">
        <v>41</v>
      </c>
      <c r="C743" s="29" t="s">
        <v>182</v>
      </c>
      <c r="D743" s="30"/>
      <c r="E743" s="30">
        <f>D741*1.94%</f>
        <v>1.9206000000000003E-4</v>
      </c>
    </row>
    <row r="744" spans="1:5">
      <c r="A744" s="29" t="s">
        <v>624</v>
      </c>
      <c r="B744" s="29" t="s">
        <v>41</v>
      </c>
      <c r="C744" s="29" t="s">
        <v>180</v>
      </c>
      <c r="D744" s="30"/>
      <c r="E744" s="30">
        <f>D741*0.79%</f>
        <v>7.8210000000000012E-5</v>
      </c>
    </row>
    <row r="745" spans="1:5">
      <c r="A745" t="s">
        <v>190</v>
      </c>
      <c r="B745" t="s">
        <v>156</v>
      </c>
      <c r="C745" t="s">
        <v>191</v>
      </c>
      <c r="D745" s="1">
        <v>9.7000000000000003E-3</v>
      </c>
    </row>
    <row r="746" spans="1:5">
      <c r="A746" s="29" t="s">
        <v>558</v>
      </c>
      <c r="B746" s="29" t="s">
        <v>62</v>
      </c>
      <c r="C746" s="29" t="s">
        <v>211</v>
      </c>
      <c r="D746" s="30"/>
      <c r="E746" s="30">
        <f>20%*D745</f>
        <v>1.9400000000000001E-3</v>
      </c>
    </row>
    <row r="747" spans="1:5">
      <c r="A747" t="s">
        <v>192</v>
      </c>
      <c r="B747" t="s">
        <v>156</v>
      </c>
      <c r="C747" t="s">
        <v>193</v>
      </c>
      <c r="D747" s="1">
        <v>9.7000000000000003E-3</v>
      </c>
    </row>
    <row r="748" spans="1:5">
      <c r="A748" s="29" t="s">
        <v>625</v>
      </c>
      <c r="B748" s="29" t="s">
        <v>156</v>
      </c>
      <c r="C748" s="29" t="s">
        <v>211</v>
      </c>
      <c r="D748" s="30"/>
      <c r="E748" s="30">
        <f>D747*25%</f>
        <v>2.4250000000000001E-3</v>
      </c>
    </row>
    <row r="749" spans="1:5">
      <c r="A749" s="29" t="s">
        <v>626</v>
      </c>
      <c r="B749" s="29" t="s">
        <v>158</v>
      </c>
      <c r="C749" s="29" t="s">
        <v>211</v>
      </c>
      <c r="D749" s="30"/>
      <c r="E749" s="30">
        <f>D747*25%</f>
        <v>2.4250000000000001E-3</v>
      </c>
    </row>
    <row r="750" spans="1:5">
      <c r="A750" t="s">
        <v>399</v>
      </c>
      <c r="B750" t="s">
        <v>35</v>
      </c>
      <c r="C750" t="s">
        <v>165</v>
      </c>
      <c r="E750" s="1">
        <v>9.1999999999999998E-3</v>
      </c>
    </row>
    <row r="751" spans="1:5">
      <c r="A751" t="s">
        <v>627</v>
      </c>
      <c r="B751" t="s">
        <v>61</v>
      </c>
      <c r="C751" t="s">
        <v>167</v>
      </c>
      <c r="E751" s="1">
        <v>8.8000000000000005E-3</v>
      </c>
    </row>
    <row r="752" spans="1:5">
      <c r="A752" t="s">
        <v>194</v>
      </c>
      <c r="B752" t="s">
        <v>35</v>
      </c>
      <c r="C752" t="s">
        <v>165</v>
      </c>
      <c r="D752" s="1">
        <v>8.0000000000000002E-3</v>
      </c>
    </row>
    <row r="753" spans="1:5">
      <c r="A753" s="29" t="s">
        <v>628</v>
      </c>
      <c r="B753" s="29" t="s">
        <v>35</v>
      </c>
      <c r="C753" s="29" t="s">
        <v>193</v>
      </c>
      <c r="D753" s="30"/>
      <c r="E753" s="30">
        <f>D752*76.5%</f>
        <v>6.1200000000000004E-3</v>
      </c>
    </row>
    <row r="754" spans="1:5">
      <c r="A754" s="29" t="s">
        <v>629</v>
      </c>
      <c r="B754" s="29" t="s">
        <v>35</v>
      </c>
      <c r="C754" s="29" t="s">
        <v>165</v>
      </c>
      <c r="D754" s="30"/>
      <c r="E754" s="30">
        <f>D752*23.5%</f>
        <v>1.8799999999999999E-3</v>
      </c>
    </row>
    <row r="755" spans="1:5">
      <c r="A755" t="s">
        <v>195</v>
      </c>
      <c r="B755" t="s">
        <v>35</v>
      </c>
      <c r="C755" t="s">
        <v>176</v>
      </c>
      <c r="D755" s="1">
        <v>7.4999999999999997E-3</v>
      </c>
    </row>
    <row r="756" spans="1:5">
      <c r="A756" s="29" t="s">
        <v>630</v>
      </c>
      <c r="B756" s="29" t="s">
        <v>35</v>
      </c>
      <c r="C756" s="29" t="s">
        <v>182</v>
      </c>
      <c r="D756" s="30"/>
      <c r="E756" s="30">
        <f>D755*14.28%</f>
        <v>1.0709999999999999E-3</v>
      </c>
    </row>
    <row r="757" spans="1:5">
      <c r="A757" s="29" t="s">
        <v>631</v>
      </c>
      <c r="B757" s="29" t="s">
        <v>35</v>
      </c>
      <c r="C757" s="29" t="s">
        <v>182</v>
      </c>
      <c r="D757" s="30"/>
      <c r="E757" s="30">
        <f>D755*14.28%</f>
        <v>1.0709999999999999E-3</v>
      </c>
    </row>
    <row r="758" spans="1:5">
      <c r="A758" s="29" t="s">
        <v>632</v>
      </c>
      <c r="B758" s="29" t="s">
        <v>35</v>
      </c>
      <c r="C758" s="29" t="s">
        <v>182</v>
      </c>
      <c r="D758" s="30"/>
      <c r="E758" s="30">
        <f>D755*14.28%</f>
        <v>1.0709999999999999E-3</v>
      </c>
    </row>
    <row r="759" spans="1:5">
      <c r="A759" s="29" t="s">
        <v>633</v>
      </c>
      <c r="B759" s="29" t="s">
        <v>35</v>
      </c>
      <c r="C759" s="29" t="s">
        <v>165</v>
      </c>
      <c r="D759" s="30"/>
      <c r="E759" s="30">
        <f>D755*14.28%</f>
        <v>1.0709999999999999E-3</v>
      </c>
    </row>
    <row r="760" spans="1:5">
      <c r="A760" s="29" t="s">
        <v>634</v>
      </c>
      <c r="B760" s="29" t="s">
        <v>35</v>
      </c>
      <c r="C760" s="29" t="s">
        <v>182</v>
      </c>
      <c r="D760" s="30"/>
      <c r="E760" s="30">
        <f>D755*14.28%</f>
        <v>1.0709999999999999E-3</v>
      </c>
    </row>
    <row r="761" spans="1:5">
      <c r="A761" s="29" t="s">
        <v>635</v>
      </c>
      <c r="B761" s="29" t="s">
        <v>35</v>
      </c>
      <c r="C761" s="29" t="s">
        <v>182</v>
      </c>
      <c r="D761" s="30"/>
      <c r="E761" s="30">
        <f>D755*14.28%</f>
        <v>1.0709999999999999E-3</v>
      </c>
    </row>
    <row r="762" spans="1:5">
      <c r="A762" s="29" t="s">
        <v>636</v>
      </c>
      <c r="B762" s="29" t="s">
        <v>35</v>
      </c>
      <c r="C762" s="29" t="s">
        <v>182</v>
      </c>
      <c r="D762" s="30"/>
      <c r="E762" s="30">
        <f>D755*14.28%</f>
        <v>1.0709999999999999E-3</v>
      </c>
    </row>
    <row r="763" spans="1:5">
      <c r="A763" t="s">
        <v>196</v>
      </c>
      <c r="B763" t="s">
        <v>35</v>
      </c>
      <c r="C763" t="s">
        <v>165</v>
      </c>
      <c r="D763" s="1">
        <v>7.0000000000000001E-3</v>
      </c>
    </row>
    <row r="764" spans="1:5">
      <c r="A764" s="29" t="s">
        <v>637</v>
      </c>
      <c r="B764" s="29" t="s">
        <v>35</v>
      </c>
      <c r="C764" s="29" t="s">
        <v>165</v>
      </c>
      <c r="D764" s="30"/>
      <c r="E764" s="30">
        <f>D763*100%</f>
        <v>7.0000000000000001E-3</v>
      </c>
    </row>
    <row r="765" spans="1:5">
      <c r="A765" t="s">
        <v>638</v>
      </c>
      <c r="B765" t="s">
        <v>156</v>
      </c>
      <c r="C765" t="s">
        <v>176</v>
      </c>
      <c r="E765" s="1">
        <v>6.4000000000000003E-3</v>
      </c>
    </row>
    <row r="766" spans="1:5">
      <c r="A766" t="s">
        <v>234</v>
      </c>
      <c r="B766" t="s">
        <v>62</v>
      </c>
      <c r="C766" t="s">
        <v>198</v>
      </c>
      <c r="D766" s="1">
        <v>6.3E-3</v>
      </c>
    </row>
    <row r="767" spans="1:5">
      <c r="A767" t="s">
        <v>639</v>
      </c>
      <c r="B767" t="s">
        <v>640</v>
      </c>
      <c r="C767" t="s">
        <v>211</v>
      </c>
      <c r="E767" s="1">
        <v>5.1000000000000004E-3</v>
      </c>
    </row>
    <row r="768" spans="1:5">
      <c r="A768" t="s">
        <v>641</v>
      </c>
      <c r="B768" t="s">
        <v>156</v>
      </c>
      <c r="C768" t="s">
        <v>176</v>
      </c>
      <c r="E768" s="1">
        <v>5.0000000000000001E-3</v>
      </c>
    </row>
    <row r="769" spans="1:5">
      <c r="A769" t="s">
        <v>642</v>
      </c>
      <c r="B769" t="s">
        <v>156</v>
      </c>
      <c r="C769" t="s">
        <v>165</v>
      </c>
      <c r="E769" s="1">
        <v>4.8999999999999998E-3</v>
      </c>
    </row>
    <row r="770" spans="1:5">
      <c r="A770" t="s">
        <v>199</v>
      </c>
      <c r="B770" t="s">
        <v>156</v>
      </c>
      <c r="C770" t="s">
        <v>171</v>
      </c>
      <c r="D770" s="1">
        <v>4.5999999999999999E-3</v>
      </c>
    </row>
    <row r="771" spans="1:5">
      <c r="A771" s="29" t="s">
        <v>643</v>
      </c>
      <c r="B771" s="29" t="s">
        <v>156</v>
      </c>
      <c r="C771" s="29" t="s">
        <v>176</v>
      </c>
      <c r="D771" s="30"/>
      <c r="E771" s="30">
        <f>D770*75%</f>
        <v>3.4499999999999999E-3</v>
      </c>
    </row>
    <row r="772" spans="1:5">
      <c r="A772" s="29" t="s">
        <v>644</v>
      </c>
      <c r="B772" s="29" t="s">
        <v>156</v>
      </c>
      <c r="C772" s="29" t="s">
        <v>176</v>
      </c>
      <c r="D772" s="30"/>
      <c r="E772" s="30">
        <f>D770*10%</f>
        <v>4.6000000000000001E-4</v>
      </c>
    </row>
    <row r="773" spans="1:5">
      <c r="A773" t="s">
        <v>645</v>
      </c>
      <c r="B773" t="s">
        <v>156</v>
      </c>
      <c r="C773" t="s">
        <v>165</v>
      </c>
      <c r="E773" s="1">
        <v>4.4999999999999997E-3</v>
      </c>
    </row>
    <row r="774" spans="1:5">
      <c r="A774" t="s">
        <v>334</v>
      </c>
      <c r="B774" t="s">
        <v>156</v>
      </c>
      <c r="C774" t="s">
        <v>176</v>
      </c>
      <c r="E774" s="1">
        <v>4.3E-3</v>
      </c>
    </row>
    <row r="775" spans="1:5">
      <c r="A775" t="s">
        <v>305</v>
      </c>
      <c r="B775" t="s">
        <v>156</v>
      </c>
      <c r="C775" t="s">
        <v>165</v>
      </c>
      <c r="E775" s="1">
        <v>4.1000000000000003E-3</v>
      </c>
    </row>
    <row r="776" spans="1:5">
      <c r="A776" t="s">
        <v>646</v>
      </c>
      <c r="B776" t="s">
        <v>157</v>
      </c>
      <c r="C776" t="s">
        <v>180</v>
      </c>
      <c r="E776" s="1">
        <v>3.7000000000000002E-3</v>
      </c>
    </row>
    <row r="777" spans="1:5">
      <c r="A777" t="s">
        <v>647</v>
      </c>
      <c r="B777" t="s">
        <v>61</v>
      </c>
      <c r="C777" t="s">
        <v>182</v>
      </c>
      <c r="E777" s="1">
        <v>3.7000000000000002E-3</v>
      </c>
    </row>
    <row r="778" spans="1:5">
      <c r="A778" t="s">
        <v>329</v>
      </c>
      <c r="B778" t="s">
        <v>35</v>
      </c>
      <c r="C778" t="s">
        <v>180</v>
      </c>
      <c r="E778" s="1">
        <v>3.5999999999999999E-3</v>
      </c>
    </row>
    <row r="779" spans="1:5">
      <c r="A779" t="s">
        <v>188</v>
      </c>
      <c r="B779" t="s">
        <v>156</v>
      </c>
      <c r="C779" t="s">
        <v>176</v>
      </c>
      <c r="E779" s="1">
        <v>3.5999999999999999E-3</v>
      </c>
    </row>
    <row r="780" spans="1:5">
      <c r="A780" t="s">
        <v>648</v>
      </c>
      <c r="B780" t="s">
        <v>156</v>
      </c>
      <c r="C780" t="s">
        <v>176</v>
      </c>
      <c r="E780" s="1">
        <v>3.2000000000000002E-3</v>
      </c>
    </row>
    <row r="781" spans="1:5">
      <c r="A781" t="s">
        <v>649</v>
      </c>
      <c r="B781" t="s">
        <v>156</v>
      </c>
      <c r="C781" t="s">
        <v>171</v>
      </c>
      <c r="E781" s="1">
        <v>3.2000000000000002E-3</v>
      </c>
    </row>
    <row r="782" spans="1:5">
      <c r="A782" t="s">
        <v>487</v>
      </c>
      <c r="B782" t="s">
        <v>156</v>
      </c>
      <c r="C782" t="s">
        <v>176</v>
      </c>
      <c r="E782" s="1">
        <v>3.2000000000000002E-3</v>
      </c>
    </row>
    <row r="783" spans="1:5">
      <c r="A783" t="s">
        <v>200</v>
      </c>
      <c r="B783" t="s">
        <v>35</v>
      </c>
      <c r="C783" t="s">
        <v>180</v>
      </c>
      <c r="D783" s="1">
        <v>3.0000000000000001E-3</v>
      </c>
    </row>
    <row r="784" spans="1:5">
      <c r="A784" s="29" t="s">
        <v>650</v>
      </c>
      <c r="B784" s="29" t="s">
        <v>35</v>
      </c>
      <c r="C784" s="29" t="s">
        <v>180</v>
      </c>
      <c r="D784" s="30"/>
      <c r="E784" s="30">
        <f>D783*92.98%</f>
        <v>2.7894000000000005E-3</v>
      </c>
    </row>
    <row r="785" spans="1:5">
      <c r="A785" s="29" t="s">
        <v>651</v>
      </c>
      <c r="B785" s="29" t="s">
        <v>35</v>
      </c>
      <c r="C785" s="29" t="s">
        <v>180</v>
      </c>
      <c r="D785" s="30"/>
      <c r="E785" s="30">
        <f>D783*2.2%</f>
        <v>6.6000000000000005E-5</v>
      </c>
    </row>
    <row r="786" spans="1:5">
      <c r="A786" s="29" t="s">
        <v>652</v>
      </c>
      <c r="B786" s="29" t="s">
        <v>35</v>
      </c>
      <c r="C786" s="29" t="s">
        <v>180</v>
      </c>
      <c r="D786" s="30"/>
      <c r="E786" s="30">
        <f>D783*1.36%</f>
        <v>4.0800000000000002E-5</v>
      </c>
    </row>
    <row r="787" spans="1:5">
      <c r="A787" s="29" t="s">
        <v>653</v>
      </c>
      <c r="B787" s="29" t="s">
        <v>35</v>
      </c>
      <c r="C787" s="29" t="s">
        <v>180</v>
      </c>
      <c r="D787" s="30"/>
      <c r="E787" s="30">
        <f>D783*0.91%</f>
        <v>2.7300000000000003E-5</v>
      </c>
    </row>
    <row r="788" spans="1:5">
      <c r="A788" s="29" t="s">
        <v>654</v>
      </c>
      <c r="B788" s="29" t="s">
        <v>35</v>
      </c>
      <c r="C788" s="29" t="s">
        <v>171</v>
      </c>
      <c r="D788" s="30"/>
      <c r="E788" s="30">
        <f>D783*0.52%</f>
        <v>1.56E-5</v>
      </c>
    </row>
    <row r="789" spans="1:5">
      <c r="A789" s="29" t="s">
        <v>655</v>
      </c>
      <c r="B789" s="29" t="s">
        <v>35</v>
      </c>
      <c r="C789" s="29" t="s">
        <v>180</v>
      </c>
      <c r="D789" s="30"/>
      <c r="E789" s="30">
        <f>D783*0.51%</f>
        <v>1.5300000000000003E-5</v>
      </c>
    </row>
    <row r="790" spans="1:5">
      <c r="A790" s="29" t="s">
        <v>656</v>
      </c>
      <c r="B790" s="29" t="s">
        <v>35</v>
      </c>
      <c r="C790" s="29" t="s">
        <v>180</v>
      </c>
      <c r="D790" s="30"/>
      <c r="E790" s="30">
        <f>D783*0.43%</f>
        <v>1.29E-5</v>
      </c>
    </row>
    <row r="791" spans="1:5">
      <c r="A791" t="s">
        <v>657</v>
      </c>
      <c r="B791" t="s">
        <v>157</v>
      </c>
      <c r="C791" t="s">
        <v>182</v>
      </c>
      <c r="D791" s="31"/>
      <c r="E791" s="31">
        <v>3.0000000000000001E-3</v>
      </c>
    </row>
    <row r="792" spans="1:5">
      <c r="A792" t="s">
        <v>308</v>
      </c>
      <c r="B792" t="s">
        <v>39</v>
      </c>
      <c r="C792" t="s">
        <v>180</v>
      </c>
      <c r="D792" s="31"/>
      <c r="E792" s="31">
        <v>2.7000000000000001E-3</v>
      </c>
    </row>
    <row r="793" spans="1:5">
      <c r="A793" t="s">
        <v>201</v>
      </c>
      <c r="B793" t="s">
        <v>62</v>
      </c>
      <c r="C793" t="s">
        <v>169</v>
      </c>
      <c r="D793" s="1">
        <v>2.7000000000000001E-3</v>
      </c>
    </row>
    <row r="794" spans="1:5">
      <c r="A794" t="s">
        <v>658</v>
      </c>
      <c r="B794" t="s">
        <v>156</v>
      </c>
      <c r="C794" t="s">
        <v>171</v>
      </c>
      <c r="E794" s="1">
        <v>2.5999999999999999E-3</v>
      </c>
    </row>
    <row r="795" spans="1:5">
      <c r="A795" t="s">
        <v>312</v>
      </c>
      <c r="B795" t="s">
        <v>156</v>
      </c>
      <c r="C795" t="s">
        <v>171</v>
      </c>
      <c r="E795" s="1">
        <v>2.5999999999999999E-3</v>
      </c>
    </row>
    <row r="796" spans="1:5">
      <c r="A796" t="s">
        <v>353</v>
      </c>
      <c r="B796" t="s">
        <v>61</v>
      </c>
      <c r="C796" t="s">
        <v>171</v>
      </c>
      <c r="E796" s="1">
        <v>2.5999999999999999E-3</v>
      </c>
    </row>
    <row r="797" spans="1:5">
      <c r="A797" t="s">
        <v>538</v>
      </c>
      <c r="B797" t="s">
        <v>156</v>
      </c>
      <c r="C797" t="s">
        <v>180</v>
      </c>
      <c r="E797" s="1">
        <v>2.5999999999999999E-3</v>
      </c>
    </row>
    <row r="798" spans="1:5">
      <c r="A798" t="s">
        <v>202</v>
      </c>
      <c r="B798" t="s">
        <v>203</v>
      </c>
      <c r="C798" t="s">
        <v>176</v>
      </c>
      <c r="D798" s="1">
        <v>2.5999999999999999E-3</v>
      </c>
    </row>
    <row r="799" spans="1:5">
      <c r="A799" s="29" t="s">
        <v>659</v>
      </c>
      <c r="B799" s="29" t="s">
        <v>157</v>
      </c>
      <c r="C799" s="29" t="s">
        <v>433</v>
      </c>
      <c r="D799" s="30"/>
      <c r="E799" s="30">
        <f>D798*100%</f>
        <v>2.5999999999999999E-3</v>
      </c>
    </row>
    <row r="800" spans="1:5">
      <c r="A800" t="s">
        <v>660</v>
      </c>
      <c r="B800" t="s">
        <v>35</v>
      </c>
      <c r="C800" t="s">
        <v>171</v>
      </c>
      <c r="E800" s="1">
        <v>2.5000000000000001E-3</v>
      </c>
    </row>
    <row r="801" spans="1:5">
      <c r="A801" t="s">
        <v>661</v>
      </c>
      <c r="B801" t="s">
        <v>35</v>
      </c>
      <c r="C801" t="s">
        <v>180</v>
      </c>
      <c r="E801" s="1">
        <v>2.5000000000000001E-3</v>
      </c>
    </row>
    <row r="802" spans="1:5">
      <c r="A802" t="s">
        <v>662</v>
      </c>
      <c r="B802" t="s">
        <v>156</v>
      </c>
      <c r="C802" t="s">
        <v>171</v>
      </c>
      <c r="E802" s="1">
        <v>2.0999999999999999E-3</v>
      </c>
    </row>
    <row r="803" spans="1:5">
      <c r="A803" t="s">
        <v>306</v>
      </c>
      <c r="B803" t="s">
        <v>67</v>
      </c>
      <c r="C803" t="s">
        <v>180</v>
      </c>
      <c r="E803" s="1">
        <v>1.9E-3</v>
      </c>
    </row>
    <row r="804" spans="1:5">
      <c r="A804" t="s">
        <v>663</v>
      </c>
      <c r="B804" t="s">
        <v>61</v>
      </c>
      <c r="C804" t="s">
        <v>167</v>
      </c>
      <c r="E804" s="1">
        <v>1.8E-3</v>
      </c>
    </row>
    <row r="805" spans="1:5">
      <c r="A805" t="s">
        <v>496</v>
      </c>
      <c r="B805" t="s">
        <v>61</v>
      </c>
      <c r="C805" t="s">
        <v>171</v>
      </c>
      <c r="E805" s="1">
        <v>1.6999999999999999E-3</v>
      </c>
    </row>
    <row r="806" spans="1:5">
      <c r="A806" t="s">
        <v>664</v>
      </c>
      <c r="B806" t="s">
        <v>156</v>
      </c>
      <c r="C806" t="s">
        <v>171</v>
      </c>
      <c r="E806" s="1">
        <v>1.5E-3</v>
      </c>
    </row>
    <row r="807" spans="1:5">
      <c r="A807" t="s">
        <v>204</v>
      </c>
      <c r="B807" t="s">
        <v>157</v>
      </c>
      <c r="C807" t="s">
        <v>165</v>
      </c>
      <c r="D807" s="1">
        <v>1.5E-3</v>
      </c>
    </row>
    <row r="808" spans="1:5">
      <c r="A808" s="29" t="s">
        <v>659</v>
      </c>
      <c r="B808" s="29" t="s">
        <v>157</v>
      </c>
      <c r="C808" s="29" t="s">
        <v>433</v>
      </c>
      <c r="D808" s="30"/>
      <c r="E808" s="30">
        <f>D807*100%</f>
        <v>1.5E-3</v>
      </c>
    </row>
    <row r="809" spans="1:5">
      <c r="A809" t="s">
        <v>665</v>
      </c>
      <c r="B809" t="s">
        <v>156</v>
      </c>
      <c r="C809" t="s">
        <v>182</v>
      </c>
      <c r="E809" s="1">
        <v>1.5E-3</v>
      </c>
    </row>
    <row r="810" spans="1:5">
      <c r="A810" t="s">
        <v>666</v>
      </c>
      <c r="B810" t="s">
        <v>61</v>
      </c>
      <c r="E810" s="1">
        <v>1.5E-3</v>
      </c>
    </row>
    <row r="811" spans="1:5">
      <c r="A811" t="s">
        <v>299</v>
      </c>
      <c r="B811" t="s">
        <v>156</v>
      </c>
      <c r="C811" t="s">
        <v>167</v>
      </c>
      <c r="E811" s="1">
        <v>1.4E-3</v>
      </c>
    </row>
    <row r="812" spans="1:5">
      <c r="A812" t="s">
        <v>667</v>
      </c>
      <c r="B812" t="s">
        <v>35</v>
      </c>
      <c r="C812" t="s">
        <v>165</v>
      </c>
      <c r="E812" s="1">
        <v>1.2999999999999999E-3</v>
      </c>
    </row>
    <row r="813" spans="1:5">
      <c r="A813" t="s">
        <v>300</v>
      </c>
      <c r="B813" t="s">
        <v>156</v>
      </c>
      <c r="C813" t="s">
        <v>165</v>
      </c>
      <c r="E813" s="1">
        <v>1.1000000000000001E-3</v>
      </c>
    </row>
    <row r="814" spans="1:5">
      <c r="A814" t="s">
        <v>205</v>
      </c>
      <c r="B814" t="s">
        <v>35</v>
      </c>
      <c r="C814" t="s">
        <v>171</v>
      </c>
      <c r="D814" s="1">
        <v>1E-3</v>
      </c>
    </row>
    <row r="815" spans="1:5">
      <c r="A815" s="29" t="s">
        <v>628</v>
      </c>
      <c r="B815" s="29" t="s">
        <v>35</v>
      </c>
      <c r="C815" s="29" t="s">
        <v>193</v>
      </c>
      <c r="D815" s="30"/>
      <c r="E815" s="30">
        <f>D814*100%</f>
        <v>1E-3</v>
      </c>
    </row>
    <row r="816" spans="1:5">
      <c r="A816" s="69" t="s">
        <v>156</v>
      </c>
      <c r="B816" s="69"/>
      <c r="C816" s="69"/>
      <c r="D816" s="70">
        <f>SUM(D770,D745:D747,D738:D739,D733,D727)</f>
        <v>8.09E-2</v>
      </c>
      <c r="E816" s="70">
        <f>SUM(E813,E811,E809,E802,E806,E794:E795,E797,E779:E782,E771:E775,E768:E769,E765,E748,E740,E734,E724:E729,E720,E717:E718,E707,E704,E702,E692)</f>
        <v>0.22577436000000004</v>
      </c>
    </row>
    <row r="817" spans="1:5">
      <c r="A817" s="69" t="s">
        <v>206</v>
      </c>
      <c r="B817" s="69"/>
      <c r="C817" s="69"/>
      <c r="D817" s="70">
        <v>0</v>
      </c>
      <c r="E817" s="70">
        <f>E810+E805+E804+E796+E777+E751+E714</f>
        <v>2.0125279999999999E-2</v>
      </c>
    </row>
    <row r="818" spans="1:5">
      <c r="A818" s="69" t="s">
        <v>157</v>
      </c>
      <c r="B818" s="69"/>
      <c r="C818" s="69"/>
      <c r="D818" s="70">
        <f>SUM(D807,D730,D700,D698)</f>
        <v>0.1004</v>
      </c>
      <c r="E818" s="70">
        <f>SUM(E808,E799,E791,E776,E708,E706,E703,E699,E694)</f>
        <v>0.12335412</v>
      </c>
    </row>
    <row r="819" spans="1:5">
      <c r="A819" s="69" t="s">
        <v>207</v>
      </c>
      <c r="B819" s="69"/>
      <c r="C819" s="69"/>
      <c r="D819" s="70">
        <v>0</v>
      </c>
      <c r="E819" s="70">
        <f>E803</f>
        <v>1.9E-3</v>
      </c>
    </row>
    <row r="820" spans="1:5">
      <c r="A820" s="69" t="s">
        <v>208</v>
      </c>
      <c r="B820" s="69"/>
      <c r="C820" s="69"/>
      <c r="D820" s="70">
        <v>0</v>
      </c>
      <c r="E820" s="70">
        <f>E749</f>
        <v>2.4250000000000001E-3</v>
      </c>
    </row>
    <row r="821" spans="1:5">
      <c r="A821" t="s">
        <v>209</v>
      </c>
      <c r="D821" s="1">
        <f>D695+D698+D700+D727+D730+D733+D738+D745+D747+D770+D807</f>
        <v>0.23320000000000002</v>
      </c>
      <c r="E821" s="1">
        <f>SUM(E692,E694,E697,E699,E701:E704,E706:E708,E710,E712:E714,E716:E718,E720,E724:E725,E728:E729,E731:E732,E734,E736:E737,E740,E748:E749,E751,E765,E768:E769,E771:E777,E779:E782,E791,E794:E797,E799,E802:E806,E808:E811,E813)</f>
        <v>0.48252423999999999</v>
      </c>
    </row>
    <row r="822" spans="1:5">
      <c r="A822" t="s">
        <v>150</v>
      </c>
      <c r="D822" s="1">
        <f>SUM(D687:D815)</f>
        <v>0.84680000000000022</v>
      </c>
      <c r="E822" s="1">
        <f>SUM(E687:E815)</f>
        <v>0.83573209000000026</v>
      </c>
    </row>
    <row r="824" spans="1:5">
      <c r="A824" t="s">
        <v>668</v>
      </c>
    </row>
    <row r="825" spans="1:5">
      <c r="A825" t="s">
        <v>669</v>
      </c>
      <c r="B825" t="s">
        <v>61</v>
      </c>
      <c r="C825" t="s">
        <v>211</v>
      </c>
      <c r="D825" s="1">
        <v>0.48280000000000001</v>
      </c>
    </row>
    <row r="826" spans="1:5">
      <c r="A826" t="s">
        <v>663</v>
      </c>
      <c r="B826" t="s">
        <v>61</v>
      </c>
      <c r="C826" t="s">
        <v>167</v>
      </c>
      <c r="E826" s="1">
        <v>7.9699999999999993E-2</v>
      </c>
    </row>
    <row r="827" spans="1:5">
      <c r="A827" t="s">
        <v>670</v>
      </c>
      <c r="B827" t="s">
        <v>61</v>
      </c>
      <c r="C827" t="s">
        <v>180</v>
      </c>
      <c r="D827" s="1">
        <v>7.0599999999999996E-2</v>
      </c>
    </row>
    <row r="828" spans="1:5" s="29" customFormat="1">
      <c r="A828" s="29" t="s">
        <v>671</v>
      </c>
      <c r="B828" s="29" t="s">
        <v>61</v>
      </c>
      <c r="C828" s="29" t="s">
        <v>176</v>
      </c>
      <c r="D828" s="30"/>
      <c r="E828" s="30">
        <f>D827*26.9%</f>
        <v>1.8991399999999995E-2</v>
      </c>
    </row>
    <row r="829" spans="1:5" s="29" customFormat="1">
      <c r="A829" s="29" t="s">
        <v>672</v>
      </c>
      <c r="B829" s="29" t="s">
        <v>61</v>
      </c>
      <c r="C829" s="29" t="s">
        <v>165</v>
      </c>
      <c r="D829" s="30"/>
      <c r="E829" s="30">
        <f>D827*25.3%</f>
        <v>1.7861800000000001E-2</v>
      </c>
    </row>
    <row r="830" spans="1:5" s="29" customFormat="1">
      <c r="A830" s="29" t="s">
        <v>673</v>
      </c>
      <c r="B830" s="29" t="s">
        <v>61</v>
      </c>
      <c r="C830" s="29" t="s">
        <v>167</v>
      </c>
      <c r="D830" s="30"/>
      <c r="E830" s="30">
        <f>D827*21.8%</f>
        <v>1.53908E-2</v>
      </c>
    </row>
    <row r="831" spans="1:5" s="29" customFormat="1">
      <c r="A831" s="29" t="s">
        <v>674</v>
      </c>
      <c r="B831" s="29" t="s">
        <v>61</v>
      </c>
      <c r="C831" s="29" t="s">
        <v>176</v>
      </c>
      <c r="D831" s="30"/>
      <c r="E831" s="30">
        <f>D827*7.3%</f>
        <v>5.1537999999999992E-3</v>
      </c>
    </row>
    <row r="832" spans="1:5" s="29" customFormat="1">
      <c r="A832" s="29" t="s">
        <v>675</v>
      </c>
      <c r="B832" s="29" t="s">
        <v>61</v>
      </c>
      <c r="C832" s="29" t="s">
        <v>165</v>
      </c>
      <c r="D832" s="30"/>
      <c r="E832" s="30">
        <f>D827*4.9%</f>
        <v>3.4594000000000001E-3</v>
      </c>
    </row>
    <row r="833" spans="1:5" s="29" customFormat="1">
      <c r="A833" s="29" t="s">
        <v>676</v>
      </c>
      <c r="B833" s="29" t="s">
        <v>61</v>
      </c>
      <c r="C833" s="29" t="s">
        <v>182</v>
      </c>
      <c r="D833" s="30"/>
      <c r="E833" s="30">
        <f>D827*3.5%</f>
        <v>2.4710000000000001E-3</v>
      </c>
    </row>
    <row r="834" spans="1:5" s="29" customFormat="1">
      <c r="A834" s="29" t="s">
        <v>677</v>
      </c>
      <c r="B834" s="29" t="s">
        <v>61</v>
      </c>
      <c r="C834" s="29" t="s">
        <v>176</v>
      </c>
      <c r="D834" s="30"/>
      <c r="E834" s="30">
        <f>D827*2.8%</f>
        <v>1.9767999999999995E-3</v>
      </c>
    </row>
    <row r="835" spans="1:5" s="29" customFormat="1">
      <c r="A835" s="29" t="s">
        <v>678</v>
      </c>
      <c r="B835" s="29" t="s">
        <v>61</v>
      </c>
      <c r="C835" s="29" t="s">
        <v>176</v>
      </c>
      <c r="D835" s="30"/>
      <c r="E835" s="30">
        <f>D827*0.2%</f>
        <v>1.4119999999999999E-4</v>
      </c>
    </row>
    <row r="836" spans="1:5">
      <c r="A836" t="s">
        <v>679</v>
      </c>
      <c r="B836" t="s">
        <v>62</v>
      </c>
      <c r="C836" t="s">
        <v>211</v>
      </c>
      <c r="D836" s="1">
        <v>6.4299999999999996E-2</v>
      </c>
    </row>
    <row r="837" spans="1:5">
      <c r="A837" t="s">
        <v>680</v>
      </c>
      <c r="B837" t="s">
        <v>280</v>
      </c>
      <c r="C837" t="s">
        <v>165</v>
      </c>
      <c r="E837" s="1">
        <v>4.5999999999999999E-2</v>
      </c>
    </row>
    <row r="838" spans="1:5">
      <c r="A838" t="s">
        <v>681</v>
      </c>
      <c r="B838" t="s">
        <v>61</v>
      </c>
      <c r="C838" t="s">
        <v>176</v>
      </c>
      <c r="E838" s="1">
        <v>4.4999999999999998E-2</v>
      </c>
    </row>
    <row r="839" spans="1:5">
      <c r="A839" t="s">
        <v>682</v>
      </c>
      <c r="B839" t="s">
        <v>61</v>
      </c>
      <c r="C839" t="s">
        <v>180</v>
      </c>
      <c r="E839" s="1">
        <v>0.04</v>
      </c>
    </row>
    <row r="840" spans="1:5">
      <c r="A840" t="s">
        <v>666</v>
      </c>
      <c r="B840" t="s">
        <v>61</v>
      </c>
      <c r="C840" t="s">
        <v>180</v>
      </c>
      <c r="E840" s="1">
        <v>3.09E-2</v>
      </c>
    </row>
    <row r="841" spans="1:5">
      <c r="A841" t="s">
        <v>473</v>
      </c>
      <c r="B841" t="s">
        <v>156</v>
      </c>
      <c r="C841" t="s">
        <v>165</v>
      </c>
      <c r="E841" s="1">
        <v>3.0599999999999999E-2</v>
      </c>
    </row>
    <row r="842" spans="1:5">
      <c r="A842" t="s">
        <v>683</v>
      </c>
      <c r="B842" t="s">
        <v>61</v>
      </c>
      <c r="C842" t="s">
        <v>165</v>
      </c>
      <c r="D842" s="1">
        <v>2.6200000000000001E-2</v>
      </c>
    </row>
    <row r="843" spans="1:5">
      <c r="A843" s="29" t="s">
        <v>684</v>
      </c>
      <c r="B843" s="29" t="s">
        <v>61</v>
      </c>
      <c r="C843" s="29" t="s">
        <v>165</v>
      </c>
      <c r="D843" s="30"/>
      <c r="E843" s="30">
        <f>D842*75%</f>
        <v>1.9650000000000001E-2</v>
      </c>
    </row>
    <row r="844" spans="1:5">
      <c r="A844" t="s">
        <v>230</v>
      </c>
      <c r="B844" t="s">
        <v>156</v>
      </c>
      <c r="C844" t="s">
        <v>180</v>
      </c>
      <c r="E844" s="1">
        <v>2.3300000000000001E-2</v>
      </c>
    </row>
    <row r="845" spans="1:5">
      <c r="A845" t="s">
        <v>353</v>
      </c>
      <c r="B845" t="s">
        <v>61</v>
      </c>
      <c r="C845" t="s">
        <v>171</v>
      </c>
      <c r="E845" s="1">
        <v>2.1299999999999999E-2</v>
      </c>
    </row>
    <row r="846" spans="1:5">
      <c r="A846" t="s">
        <v>685</v>
      </c>
      <c r="B846" t="s">
        <v>156</v>
      </c>
      <c r="C846" t="s">
        <v>165</v>
      </c>
      <c r="D846" s="1">
        <v>1.9699999999999999E-2</v>
      </c>
    </row>
    <row r="847" spans="1:5">
      <c r="A847" t="s">
        <v>686</v>
      </c>
      <c r="B847" t="s">
        <v>156</v>
      </c>
      <c r="C847" t="s">
        <v>176</v>
      </c>
      <c r="D847" s="1">
        <v>1.9699999999999999E-2</v>
      </c>
    </row>
    <row r="848" spans="1:5">
      <c r="A848" s="29" t="s">
        <v>687</v>
      </c>
      <c r="B848" s="29" t="s">
        <v>156</v>
      </c>
      <c r="C848" s="29" t="s">
        <v>171</v>
      </c>
      <c r="D848" s="30"/>
      <c r="E848" s="30">
        <f>D847*5.61%</f>
        <v>1.1051699999999999E-3</v>
      </c>
    </row>
    <row r="849" spans="1:5">
      <c r="A849" t="s">
        <v>688</v>
      </c>
      <c r="B849" t="s">
        <v>61</v>
      </c>
      <c r="C849" t="s">
        <v>171</v>
      </c>
      <c r="E849" s="1">
        <v>1.9400000000000001E-2</v>
      </c>
    </row>
    <row r="850" spans="1:5">
      <c r="A850" t="s">
        <v>689</v>
      </c>
      <c r="B850" t="s">
        <v>61</v>
      </c>
      <c r="C850" t="s">
        <v>182</v>
      </c>
      <c r="E850" s="1">
        <v>1.9300000000000001E-2</v>
      </c>
    </row>
    <row r="851" spans="1:5">
      <c r="A851" t="s">
        <v>647</v>
      </c>
      <c r="B851" t="s">
        <v>61</v>
      </c>
      <c r="C851" t="s">
        <v>182</v>
      </c>
      <c r="E851" s="1">
        <v>1.9099999999999999E-2</v>
      </c>
    </row>
    <row r="852" spans="1:5">
      <c r="A852" t="s">
        <v>690</v>
      </c>
      <c r="B852" t="s">
        <v>61</v>
      </c>
      <c r="C852" t="s">
        <v>180</v>
      </c>
      <c r="E852" s="1">
        <v>1.8599999999999998E-2</v>
      </c>
    </row>
    <row r="853" spans="1:5">
      <c r="A853" t="s">
        <v>691</v>
      </c>
      <c r="B853" t="s">
        <v>61</v>
      </c>
      <c r="C853" t="s">
        <v>171</v>
      </c>
      <c r="E853" s="1">
        <v>1.5299999999999999E-2</v>
      </c>
    </row>
    <row r="854" spans="1:5">
      <c r="A854" t="s">
        <v>692</v>
      </c>
      <c r="B854" t="s">
        <v>280</v>
      </c>
      <c r="C854" t="s">
        <v>180</v>
      </c>
      <c r="E854" s="1">
        <v>1.49E-2</v>
      </c>
    </row>
    <row r="855" spans="1:5">
      <c r="A855" t="s">
        <v>693</v>
      </c>
      <c r="B855" t="s">
        <v>156</v>
      </c>
      <c r="C855" t="s">
        <v>165</v>
      </c>
      <c r="D855" s="1">
        <v>1.37E-2</v>
      </c>
    </row>
    <row r="856" spans="1:5">
      <c r="A856" t="s">
        <v>694</v>
      </c>
      <c r="B856" t="s">
        <v>61</v>
      </c>
      <c r="C856" t="s">
        <v>180</v>
      </c>
      <c r="E856" s="1">
        <v>1.35E-2</v>
      </c>
    </row>
    <row r="857" spans="1:5">
      <c r="A857" t="s">
        <v>695</v>
      </c>
      <c r="B857" t="s">
        <v>61</v>
      </c>
      <c r="C857" t="s">
        <v>171</v>
      </c>
      <c r="E857" s="1">
        <v>1.2E-2</v>
      </c>
    </row>
    <row r="858" spans="1:5">
      <c r="A858" t="s">
        <v>325</v>
      </c>
      <c r="B858" t="s">
        <v>158</v>
      </c>
      <c r="C858" t="s">
        <v>167</v>
      </c>
      <c r="E858" s="1">
        <v>1.03E-2</v>
      </c>
    </row>
    <row r="859" spans="1:5">
      <c r="A859" t="s">
        <v>696</v>
      </c>
      <c r="B859" t="s">
        <v>156</v>
      </c>
      <c r="C859" t="s">
        <v>165</v>
      </c>
      <c r="D859" s="1">
        <v>9.4999999999999998E-3</v>
      </c>
    </row>
    <row r="860" spans="1:5">
      <c r="A860" t="s">
        <v>697</v>
      </c>
      <c r="B860" t="s">
        <v>61</v>
      </c>
      <c r="C860" t="s">
        <v>180</v>
      </c>
      <c r="E860" s="1">
        <v>9.1999999999999998E-3</v>
      </c>
    </row>
    <row r="861" spans="1:5">
      <c r="A861" t="s">
        <v>698</v>
      </c>
      <c r="B861" t="s">
        <v>61</v>
      </c>
      <c r="C861" t="s">
        <v>180</v>
      </c>
      <c r="E861" s="1">
        <v>9.1000000000000004E-3</v>
      </c>
    </row>
    <row r="862" spans="1:5">
      <c r="A862" t="s">
        <v>328</v>
      </c>
      <c r="B862" t="s">
        <v>156</v>
      </c>
      <c r="C862" t="s">
        <v>165</v>
      </c>
      <c r="E862" s="1">
        <v>8.8000000000000005E-3</v>
      </c>
    </row>
    <row r="863" spans="1:5">
      <c r="A863" t="s">
        <v>699</v>
      </c>
      <c r="B863" t="s">
        <v>61</v>
      </c>
      <c r="C863" t="s">
        <v>171</v>
      </c>
      <c r="D863" s="1">
        <v>7.9000000000000008E-3</v>
      </c>
    </row>
    <row r="864" spans="1:5">
      <c r="A864" t="s">
        <v>330</v>
      </c>
      <c r="B864" t="s">
        <v>331</v>
      </c>
      <c r="C864" t="s">
        <v>180</v>
      </c>
      <c r="E864" s="1">
        <v>7.7999999999999996E-3</v>
      </c>
    </row>
    <row r="865" spans="1:5">
      <c r="A865" t="s">
        <v>700</v>
      </c>
      <c r="B865" t="s">
        <v>61</v>
      </c>
      <c r="C865" t="s">
        <v>167</v>
      </c>
      <c r="E865" s="1">
        <v>7.4000000000000003E-3</v>
      </c>
    </row>
    <row r="866" spans="1:5">
      <c r="A866" t="s">
        <v>701</v>
      </c>
      <c r="B866" t="s">
        <v>156</v>
      </c>
      <c r="C866" t="s">
        <v>180</v>
      </c>
      <c r="E866" s="1">
        <v>7.3000000000000001E-3</v>
      </c>
    </row>
    <row r="867" spans="1:5">
      <c r="A867" t="s">
        <v>179</v>
      </c>
      <c r="B867" t="s">
        <v>157</v>
      </c>
      <c r="C867" t="s">
        <v>180</v>
      </c>
      <c r="E867" s="1">
        <v>6.1000000000000004E-3</v>
      </c>
    </row>
    <row r="868" spans="1:5">
      <c r="A868" t="s">
        <v>702</v>
      </c>
      <c r="B868" t="s">
        <v>157</v>
      </c>
      <c r="C868" t="s">
        <v>182</v>
      </c>
      <c r="E868" s="1">
        <v>5.4999999999999997E-3</v>
      </c>
    </row>
    <row r="869" spans="1:5">
      <c r="A869" t="s">
        <v>703</v>
      </c>
      <c r="B869" t="s">
        <v>62</v>
      </c>
      <c r="C869" t="s">
        <v>165</v>
      </c>
      <c r="D869" s="1">
        <v>4.5999999999999999E-3</v>
      </c>
    </row>
    <row r="870" spans="1:5">
      <c r="A870" t="s">
        <v>704</v>
      </c>
      <c r="B870" t="s">
        <v>61</v>
      </c>
      <c r="C870" t="s">
        <v>165</v>
      </c>
      <c r="D870" s="1">
        <v>4.4999999999999997E-3</v>
      </c>
    </row>
    <row r="871" spans="1:5">
      <c r="A871" t="s">
        <v>705</v>
      </c>
      <c r="B871" t="s">
        <v>61</v>
      </c>
      <c r="C871" t="s">
        <v>171</v>
      </c>
      <c r="E871" s="1">
        <v>4.4999999999999997E-3</v>
      </c>
    </row>
    <row r="872" spans="1:5">
      <c r="A872" t="s">
        <v>520</v>
      </c>
      <c r="B872" t="s">
        <v>156</v>
      </c>
      <c r="C872" t="s">
        <v>165</v>
      </c>
      <c r="E872" s="1">
        <v>4.4000000000000003E-3</v>
      </c>
    </row>
    <row r="873" spans="1:5">
      <c r="A873" t="s">
        <v>706</v>
      </c>
      <c r="B873" t="s">
        <v>61</v>
      </c>
      <c r="C873" t="s">
        <v>171</v>
      </c>
      <c r="E873" s="1">
        <v>4.4000000000000003E-3</v>
      </c>
    </row>
    <row r="874" spans="1:5">
      <c r="A874" t="s">
        <v>707</v>
      </c>
      <c r="B874" t="s">
        <v>39</v>
      </c>
      <c r="C874" t="s">
        <v>180</v>
      </c>
      <c r="E874" s="1">
        <v>3.8E-3</v>
      </c>
    </row>
    <row r="875" spans="1:5">
      <c r="A875" t="s">
        <v>708</v>
      </c>
      <c r="B875" t="s">
        <v>67</v>
      </c>
      <c r="C875" t="s">
        <v>180</v>
      </c>
      <c r="E875" s="1">
        <v>3.7000000000000002E-3</v>
      </c>
    </row>
    <row r="876" spans="1:5">
      <c r="A876" t="s">
        <v>709</v>
      </c>
      <c r="B876" t="s">
        <v>61</v>
      </c>
      <c r="C876" t="s">
        <v>171</v>
      </c>
      <c r="E876" s="1">
        <v>3.5000000000000001E-3</v>
      </c>
    </row>
    <row r="877" spans="1:5">
      <c r="A877" t="s">
        <v>710</v>
      </c>
      <c r="B877" t="s">
        <v>156</v>
      </c>
      <c r="C877" t="s">
        <v>171</v>
      </c>
      <c r="E877" s="1">
        <v>3.5000000000000001E-3</v>
      </c>
    </row>
    <row r="878" spans="1:5">
      <c r="A878" t="s">
        <v>312</v>
      </c>
      <c r="B878" t="s">
        <v>156</v>
      </c>
      <c r="C878" t="s">
        <v>180</v>
      </c>
      <c r="E878" s="1">
        <v>3.3999999999999998E-3</v>
      </c>
    </row>
    <row r="879" spans="1:5">
      <c r="A879" t="s">
        <v>711</v>
      </c>
      <c r="B879" t="s">
        <v>61</v>
      </c>
      <c r="C879" t="s">
        <v>171</v>
      </c>
      <c r="E879" s="1">
        <v>3.3999999999999998E-3</v>
      </c>
    </row>
    <row r="880" spans="1:5">
      <c r="A880" t="s">
        <v>712</v>
      </c>
      <c r="B880" t="s">
        <v>61</v>
      </c>
      <c r="C880" t="s">
        <v>165</v>
      </c>
      <c r="E880" s="1">
        <v>3.0999999999999999E-3</v>
      </c>
    </row>
    <row r="881" spans="1:5">
      <c r="A881" t="s">
        <v>713</v>
      </c>
      <c r="B881" t="s">
        <v>61</v>
      </c>
      <c r="C881" t="s">
        <v>180</v>
      </c>
      <c r="E881" s="1">
        <v>3.0999999999999999E-3</v>
      </c>
    </row>
    <row r="882" spans="1:5">
      <c r="A882" t="s">
        <v>714</v>
      </c>
      <c r="B882" t="s">
        <v>61</v>
      </c>
      <c r="C882" t="s">
        <v>165</v>
      </c>
      <c r="E882" s="1">
        <v>3.0999999999999999E-3</v>
      </c>
    </row>
    <row r="883" spans="1:5">
      <c r="A883" t="s">
        <v>334</v>
      </c>
      <c r="B883" t="s">
        <v>156</v>
      </c>
      <c r="C883" t="s">
        <v>176</v>
      </c>
      <c r="E883" s="1">
        <v>2.8999999999999998E-3</v>
      </c>
    </row>
    <row r="884" spans="1:5">
      <c r="A884" t="s">
        <v>715</v>
      </c>
      <c r="B884" t="s">
        <v>604</v>
      </c>
      <c r="C884" t="s">
        <v>180</v>
      </c>
      <c r="E884" s="1">
        <v>2.8999999999999998E-3</v>
      </c>
    </row>
    <row r="885" spans="1:5">
      <c r="A885" t="s">
        <v>306</v>
      </c>
      <c r="B885" t="s">
        <v>67</v>
      </c>
      <c r="C885" t="s">
        <v>180</v>
      </c>
      <c r="E885" s="1">
        <v>2.7000000000000001E-3</v>
      </c>
    </row>
    <row r="886" spans="1:5">
      <c r="A886" t="s">
        <v>716</v>
      </c>
      <c r="B886" t="s">
        <v>717</v>
      </c>
      <c r="C886" t="s">
        <v>165</v>
      </c>
      <c r="D886" s="1">
        <v>2.3999999999999998E-3</v>
      </c>
    </row>
    <row r="887" spans="1:5">
      <c r="A887" t="s">
        <v>358</v>
      </c>
      <c r="B887" t="s">
        <v>67</v>
      </c>
      <c r="C887" t="s">
        <v>180</v>
      </c>
      <c r="E887" s="1">
        <v>2.3E-3</v>
      </c>
    </row>
    <row r="888" spans="1:5">
      <c r="A888" t="s">
        <v>718</v>
      </c>
      <c r="B888" t="s">
        <v>61</v>
      </c>
      <c r="C888" t="s">
        <v>182</v>
      </c>
      <c r="E888" s="1">
        <v>2.3E-3</v>
      </c>
    </row>
    <row r="889" spans="1:5">
      <c r="A889" t="s">
        <v>719</v>
      </c>
      <c r="B889" t="s">
        <v>156</v>
      </c>
      <c r="C889" t="s">
        <v>165</v>
      </c>
      <c r="D889" s="1">
        <v>2.2000000000000001E-3</v>
      </c>
    </row>
    <row r="890" spans="1:5">
      <c r="A890" s="69" t="s">
        <v>156</v>
      </c>
      <c r="B890" s="69"/>
      <c r="C890" s="69"/>
      <c r="D890" s="70">
        <f>SUM(D846:D847,D855,D859,D889)</f>
        <v>6.4799999999999983E-2</v>
      </c>
      <c r="E890" s="70">
        <f>SUM(E841,E844,E848,E862,E866,E872,E877:E878,E883)</f>
        <v>8.5305170000000013E-2</v>
      </c>
    </row>
    <row r="891" spans="1:5">
      <c r="A891" s="69" t="s">
        <v>206</v>
      </c>
      <c r="B891" s="69"/>
      <c r="C891" s="69"/>
      <c r="D891" s="70">
        <f>SUM(D870,D863,D842,D827,D825)</f>
        <v>0.59199999999999997</v>
      </c>
      <c r="E891" s="70">
        <f>SUM(E888,E879:E882,E876,E873,E871,E865,E860:E861,E856:E857,E849:E853,E845,E838:E840,E828:E835,E826)</f>
        <v>0.45264619999999989</v>
      </c>
    </row>
    <row r="892" spans="1:5">
      <c r="A892" s="69" t="s">
        <v>157</v>
      </c>
      <c r="B892" s="69"/>
      <c r="C892" s="69"/>
      <c r="D892" s="70">
        <v>0</v>
      </c>
      <c r="E892" s="70">
        <f>E867+E868</f>
        <v>1.1599999999999999E-2</v>
      </c>
    </row>
    <row r="893" spans="1:5">
      <c r="A893" s="69" t="s">
        <v>207</v>
      </c>
      <c r="B893" s="69"/>
      <c r="C893" s="69"/>
      <c r="D893" s="70">
        <v>0</v>
      </c>
      <c r="E893" s="70">
        <f>E875+E885+E887</f>
        <v>8.6999999999999994E-3</v>
      </c>
    </row>
    <row r="894" spans="1:5">
      <c r="A894" s="69" t="s">
        <v>208</v>
      </c>
      <c r="B894" s="69"/>
      <c r="C894" s="69"/>
      <c r="D894" s="70">
        <v>0</v>
      </c>
      <c r="E894" s="70">
        <f>E858</f>
        <v>1.03E-2</v>
      </c>
    </row>
    <row r="895" spans="1:5">
      <c r="A895" t="s">
        <v>209</v>
      </c>
      <c r="D895" s="1">
        <f>SUM(D825:D863,D865:D873,D875:D889)</f>
        <v>0.72810000000000008</v>
      </c>
      <c r="E895" s="1">
        <f>SUM(E826:E863,E865:E873,E875:E889)</f>
        <v>0.65200136999999936</v>
      </c>
    </row>
    <row r="896" spans="1:5">
      <c r="A896" t="s">
        <v>150</v>
      </c>
      <c r="D896" s="1">
        <f>SUM(D825:D889)</f>
        <v>0.72810000000000008</v>
      </c>
      <c r="E896" s="1">
        <f>SUM(E825:E889)</f>
        <v>0.66360136999999941</v>
      </c>
    </row>
    <row r="898" spans="1:5">
      <c r="A898" t="s">
        <v>73</v>
      </c>
    </row>
    <row r="899" spans="1:5">
      <c r="A899" t="s">
        <v>261</v>
      </c>
      <c r="B899" t="s">
        <v>62</v>
      </c>
      <c r="C899" t="s">
        <v>262</v>
      </c>
      <c r="D899" s="1">
        <v>0.5</v>
      </c>
    </row>
    <row r="900" spans="1:5">
      <c r="A900" t="s">
        <v>720</v>
      </c>
      <c r="B900" t="s">
        <v>35</v>
      </c>
      <c r="C900" t="s">
        <v>165</v>
      </c>
      <c r="D900" s="1">
        <v>0.19600000000000001</v>
      </c>
    </row>
    <row r="901" spans="1:5">
      <c r="A901" s="29" t="s">
        <v>721</v>
      </c>
      <c r="B901" s="29" t="s">
        <v>62</v>
      </c>
      <c r="C901" s="29" t="s">
        <v>211</v>
      </c>
      <c r="D901" s="30"/>
      <c r="E901" s="30">
        <f>D900*68.5%</f>
        <v>0.13426000000000002</v>
      </c>
    </row>
    <row r="902" spans="1:5">
      <c r="A902" s="29" t="s">
        <v>722</v>
      </c>
      <c r="B902" s="29" t="s">
        <v>62</v>
      </c>
      <c r="C902" s="29" t="s">
        <v>211</v>
      </c>
      <c r="D902" s="30"/>
      <c r="E902" s="30">
        <f>D900*28.4%</f>
        <v>5.5663999999999998E-2</v>
      </c>
    </row>
    <row r="903" spans="1:5">
      <c r="A903" s="29" t="s">
        <v>723</v>
      </c>
      <c r="B903" s="29" t="s">
        <v>62</v>
      </c>
      <c r="C903" s="29" t="s">
        <v>169</v>
      </c>
      <c r="D903" s="30"/>
      <c r="E903" s="30">
        <f>D900*2.7%</f>
        <v>5.2920000000000007E-3</v>
      </c>
    </row>
    <row r="904" spans="1:5">
      <c r="A904" s="29" t="s">
        <v>234</v>
      </c>
      <c r="B904" s="29" t="s">
        <v>62</v>
      </c>
      <c r="C904" s="29" t="s">
        <v>198</v>
      </c>
      <c r="D904" s="30"/>
      <c r="E904" s="30">
        <f>D900*0.4%</f>
        <v>7.8400000000000008E-4</v>
      </c>
    </row>
    <row r="905" spans="1:5">
      <c r="A905" t="s">
        <v>622</v>
      </c>
      <c r="B905" t="s">
        <v>35</v>
      </c>
      <c r="C905" t="s">
        <v>180</v>
      </c>
      <c r="D905" s="31"/>
      <c r="E905" s="31">
        <v>7.0000000000000007E-2</v>
      </c>
    </row>
    <row r="906" spans="1:5">
      <c r="A906" t="s">
        <v>724</v>
      </c>
      <c r="B906" t="s">
        <v>35</v>
      </c>
      <c r="C906" t="s">
        <v>176</v>
      </c>
      <c r="D906" s="1">
        <v>7.0000000000000007E-2</v>
      </c>
    </row>
    <row r="907" spans="1:5">
      <c r="A907" t="s">
        <v>201</v>
      </c>
      <c r="B907" t="s">
        <v>62</v>
      </c>
      <c r="C907" t="s">
        <v>169</v>
      </c>
      <c r="D907" s="1">
        <v>6.4000000000000001E-2</v>
      </c>
    </row>
    <row r="908" spans="1:5">
      <c r="A908" t="s">
        <v>725</v>
      </c>
      <c r="B908" t="s">
        <v>62</v>
      </c>
      <c r="C908" t="s">
        <v>169</v>
      </c>
      <c r="D908" s="1">
        <v>6.3E-2</v>
      </c>
    </row>
    <row r="909" spans="1:5">
      <c r="A909" t="s">
        <v>329</v>
      </c>
      <c r="B909" t="s">
        <v>35</v>
      </c>
      <c r="C909" t="s">
        <v>180</v>
      </c>
      <c r="E909" s="1">
        <v>4.0099999999999997E-2</v>
      </c>
    </row>
    <row r="910" spans="1:5">
      <c r="A910" t="s">
        <v>726</v>
      </c>
      <c r="B910" t="s">
        <v>280</v>
      </c>
      <c r="C910" t="s">
        <v>176</v>
      </c>
      <c r="E910" s="1">
        <v>3.7100000000000001E-2</v>
      </c>
    </row>
    <row r="911" spans="1:5">
      <c r="A911" t="s">
        <v>723</v>
      </c>
      <c r="B911" t="s">
        <v>62</v>
      </c>
      <c r="C911" t="s">
        <v>169</v>
      </c>
      <c r="D911" s="1">
        <v>2.5999999999999999E-2</v>
      </c>
    </row>
    <row r="912" spans="1:5">
      <c r="A912" t="s">
        <v>544</v>
      </c>
      <c r="B912" t="s">
        <v>35</v>
      </c>
      <c r="C912" t="s">
        <v>180</v>
      </c>
      <c r="E912" s="1">
        <v>2.2499999999999999E-2</v>
      </c>
    </row>
    <row r="913" spans="1:5">
      <c r="A913" t="s">
        <v>325</v>
      </c>
      <c r="B913" t="s">
        <v>158</v>
      </c>
      <c r="C913" t="s">
        <v>167</v>
      </c>
      <c r="E913" s="1">
        <v>2.0199999999999999E-2</v>
      </c>
    </row>
    <row r="914" spans="1:5">
      <c r="A914" t="s">
        <v>319</v>
      </c>
      <c r="B914" t="s">
        <v>156</v>
      </c>
      <c r="C914" t="s">
        <v>165</v>
      </c>
      <c r="E914" s="1">
        <v>1.9699999999999999E-2</v>
      </c>
    </row>
    <row r="915" spans="1:5">
      <c r="A915" t="s">
        <v>661</v>
      </c>
      <c r="B915" t="s">
        <v>35</v>
      </c>
      <c r="C915" t="s">
        <v>180</v>
      </c>
      <c r="E915" s="1">
        <v>1.8599999999999998E-2</v>
      </c>
    </row>
    <row r="916" spans="1:5">
      <c r="A916" t="s">
        <v>492</v>
      </c>
      <c r="B916" t="s">
        <v>35</v>
      </c>
      <c r="C916" t="s">
        <v>171</v>
      </c>
      <c r="E916" s="1">
        <v>1.77E-2</v>
      </c>
    </row>
    <row r="917" spans="1:5">
      <c r="A917" t="s">
        <v>727</v>
      </c>
      <c r="B917" t="s">
        <v>156</v>
      </c>
      <c r="C917" t="s">
        <v>165</v>
      </c>
      <c r="E917" s="1">
        <v>1.5100000000000001E-2</v>
      </c>
    </row>
    <row r="918" spans="1:5">
      <c r="A918" t="s">
        <v>230</v>
      </c>
      <c r="B918" t="s">
        <v>156</v>
      </c>
      <c r="C918" t="s">
        <v>180</v>
      </c>
      <c r="E918" s="1">
        <v>1.41E-2</v>
      </c>
    </row>
    <row r="919" spans="1:5">
      <c r="A919" t="s">
        <v>728</v>
      </c>
      <c r="B919" t="s">
        <v>280</v>
      </c>
      <c r="C919" t="s">
        <v>180</v>
      </c>
      <c r="E919" s="1">
        <v>1.23E-2</v>
      </c>
    </row>
    <row r="920" spans="1:5">
      <c r="A920" t="s">
        <v>642</v>
      </c>
      <c r="B920" t="s">
        <v>156</v>
      </c>
      <c r="C920" t="s">
        <v>165</v>
      </c>
      <c r="E920" s="1">
        <v>1.21E-2</v>
      </c>
    </row>
    <row r="921" spans="1:5">
      <c r="A921" t="s">
        <v>328</v>
      </c>
      <c r="B921" t="s">
        <v>156</v>
      </c>
      <c r="C921" t="s">
        <v>165</v>
      </c>
      <c r="E921" s="1">
        <v>1.2E-2</v>
      </c>
    </row>
    <row r="922" spans="1:5">
      <c r="A922" t="s">
        <v>722</v>
      </c>
      <c r="B922" t="s">
        <v>62</v>
      </c>
      <c r="C922" t="s">
        <v>211</v>
      </c>
      <c r="D922" s="1">
        <v>0.01</v>
      </c>
    </row>
    <row r="923" spans="1:5">
      <c r="A923" t="s">
        <v>729</v>
      </c>
      <c r="B923" t="s">
        <v>35</v>
      </c>
      <c r="C923" t="s">
        <v>165</v>
      </c>
      <c r="E923" s="1">
        <v>9.2999999999999992E-3</v>
      </c>
    </row>
    <row r="924" spans="1:5">
      <c r="A924" t="s">
        <v>535</v>
      </c>
      <c r="B924" t="s">
        <v>47</v>
      </c>
      <c r="C924" t="s">
        <v>182</v>
      </c>
      <c r="E924" s="1">
        <v>7.4999999999999997E-3</v>
      </c>
    </row>
    <row r="925" spans="1:5">
      <c r="A925" t="s">
        <v>730</v>
      </c>
      <c r="B925" t="s">
        <v>35</v>
      </c>
      <c r="C925" t="s">
        <v>165</v>
      </c>
      <c r="D925" s="1">
        <v>5.8999999999999999E-3</v>
      </c>
    </row>
    <row r="926" spans="1:5">
      <c r="A926" t="s">
        <v>537</v>
      </c>
      <c r="B926" t="s">
        <v>156</v>
      </c>
      <c r="C926" t="s">
        <v>165</v>
      </c>
      <c r="E926" s="1">
        <v>5.7999999999999996E-3</v>
      </c>
    </row>
    <row r="927" spans="1:5">
      <c r="A927" t="s">
        <v>179</v>
      </c>
      <c r="B927" t="s">
        <v>157</v>
      </c>
      <c r="C927" t="s">
        <v>180</v>
      </c>
      <c r="E927" s="1">
        <v>5.5999999999999999E-3</v>
      </c>
    </row>
    <row r="928" spans="1:5">
      <c r="A928" t="s">
        <v>731</v>
      </c>
      <c r="B928" t="s">
        <v>35</v>
      </c>
      <c r="C928" t="s">
        <v>165</v>
      </c>
      <c r="E928" s="1">
        <v>5.1999999999999998E-3</v>
      </c>
    </row>
    <row r="929" spans="1:5">
      <c r="A929" t="s">
        <v>732</v>
      </c>
      <c r="B929" t="s">
        <v>156</v>
      </c>
      <c r="C929" t="s">
        <v>167</v>
      </c>
      <c r="E929" s="1">
        <v>5.1000000000000004E-3</v>
      </c>
    </row>
    <row r="930" spans="1:5">
      <c r="A930" t="s">
        <v>374</v>
      </c>
      <c r="B930" t="s">
        <v>157</v>
      </c>
      <c r="C930" t="s">
        <v>193</v>
      </c>
      <c r="D930" s="1">
        <v>5.0000000000000001E-3</v>
      </c>
    </row>
    <row r="931" spans="1:5">
      <c r="A931" t="s">
        <v>721</v>
      </c>
      <c r="B931" t="s">
        <v>62</v>
      </c>
      <c r="C931" t="s">
        <v>211</v>
      </c>
      <c r="D931" s="1">
        <v>5.0000000000000001E-3</v>
      </c>
    </row>
    <row r="932" spans="1:5">
      <c r="A932" t="s">
        <v>234</v>
      </c>
      <c r="B932" t="s">
        <v>62</v>
      </c>
      <c r="C932" t="s">
        <v>198</v>
      </c>
      <c r="D932" s="1">
        <v>5.0000000000000001E-3</v>
      </c>
    </row>
    <row r="933" spans="1:5">
      <c r="A933" t="s">
        <v>733</v>
      </c>
      <c r="B933" t="s">
        <v>35</v>
      </c>
      <c r="C933" t="s">
        <v>180</v>
      </c>
      <c r="E933" s="1">
        <v>4.8999999999999998E-3</v>
      </c>
    </row>
    <row r="934" spans="1:5">
      <c r="A934" t="s">
        <v>734</v>
      </c>
      <c r="B934" t="s">
        <v>157</v>
      </c>
      <c r="C934" t="s">
        <v>171</v>
      </c>
      <c r="D934" s="1">
        <v>4.7999999999999996E-3</v>
      </c>
    </row>
    <row r="935" spans="1:5">
      <c r="A935" t="s">
        <v>735</v>
      </c>
      <c r="B935" t="s">
        <v>35</v>
      </c>
      <c r="C935" t="s">
        <v>176</v>
      </c>
      <c r="E935" s="1">
        <v>4.5999999999999999E-3</v>
      </c>
    </row>
    <row r="936" spans="1:5">
      <c r="A936" t="s">
        <v>667</v>
      </c>
      <c r="B936" t="s">
        <v>35</v>
      </c>
      <c r="C936" t="s">
        <v>165</v>
      </c>
      <c r="E936" s="1">
        <v>4.0000000000000001E-3</v>
      </c>
    </row>
    <row r="937" spans="1:5">
      <c r="A937" t="s">
        <v>736</v>
      </c>
      <c r="B937" t="s">
        <v>331</v>
      </c>
      <c r="C937" t="s">
        <v>165</v>
      </c>
      <c r="E937" s="1">
        <v>4.0000000000000001E-3</v>
      </c>
    </row>
    <row r="938" spans="1:5">
      <c r="A938" t="s">
        <v>737</v>
      </c>
      <c r="B938" t="s">
        <v>35</v>
      </c>
      <c r="C938" t="s">
        <v>165</v>
      </c>
      <c r="E938" s="1">
        <v>3.8E-3</v>
      </c>
    </row>
    <row r="939" spans="1:5">
      <c r="A939" t="s">
        <v>305</v>
      </c>
      <c r="B939" t="s">
        <v>156</v>
      </c>
      <c r="C939" t="s">
        <v>165</v>
      </c>
      <c r="E939" s="1">
        <v>3.7000000000000002E-3</v>
      </c>
    </row>
    <row r="940" spans="1:5">
      <c r="A940" t="s">
        <v>738</v>
      </c>
      <c r="B940" t="s">
        <v>35</v>
      </c>
      <c r="C940" t="s">
        <v>171</v>
      </c>
      <c r="E940" s="1">
        <v>3.5999999999999999E-3</v>
      </c>
    </row>
    <row r="941" spans="1:5">
      <c r="A941" t="s">
        <v>353</v>
      </c>
      <c r="B941" t="s">
        <v>61</v>
      </c>
      <c r="C941" t="s">
        <v>171</v>
      </c>
      <c r="E941" s="1">
        <v>3.5999999999999999E-3</v>
      </c>
    </row>
    <row r="942" spans="1:5">
      <c r="A942" t="s">
        <v>707</v>
      </c>
      <c r="B942" t="s">
        <v>39</v>
      </c>
      <c r="C942" t="s">
        <v>180</v>
      </c>
      <c r="E942" s="1">
        <v>3.5000000000000001E-3</v>
      </c>
    </row>
    <row r="943" spans="1:5">
      <c r="A943" t="s">
        <v>534</v>
      </c>
      <c r="B943" t="s">
        <v>35</v>
      </c>
      <c r="C943" t="s">
        <v>182</v>
      </c>
      <c r="E943" s="1">
        <v>3.3999999999999998E-3</v>
      </c>
    </row>
    <row r="944" spans="1:5">
      <c r="A944" t="s">
        <v>739</v>
      </c>
      <c r="B944" t="s">
        <v>33</v>
      </c>
      <c r="C944" t="s">
        <v>180</v>
      </c>
      <c r="E944" s="1">
        <v>3.2000000000000002E-3</v>
      </c>
    </row>
    <row r="945" spans="1:5">
      <c r="A945" t="s">
        <v>345</v>
      </c>
      <c r="B945" t="s">
        <v>280</v>
      </c>
      <c r="C945" t="s">
        <v>176</v>
      </c>
      <c r="E945" s="1">
        <v>2.7000000000000001E-3</v>
      </c>
    </row>
    <row r="946" spans="1:5">
      <c r="A946" t="s">
        <v>471</v>
      </c>
      <c r="B946" t="s">
        <v>157</v>
      </c>
      <c r="C946" t="s">
        <v>171</v>
      </c>
      <c r="D946" s="1">
        <v>2.5999999999999999E-3</v>
      </c>
    </row>
    <row r="947" spans="1:5">
      <c r="A947" t="s">
        <v>740</v>
      </c>
      <c r="B947" t="s">
        <v>35</v>
      </c>
      <c r="C947" t="s">
        <v>165</v>
      </c>
      <c r="E947" s="1">
        <v>2.5000000000000001E-3</v>
      </c>
    </row>
    <row r="948" spans="1:5">
      <c r="A948" t="s">
        <v>307</v>
      </c>
      <c r="B948" t="s">
        <v>156</v>
      </c>
      <c r="C948" t="s">
        <v>171</v>
      </c>
      <c r="E948" s="1">
        <v>2.3999999999999998E-3</v>
      </c>
    </row>
    <row r="949" spans="1:5">
      <c r="A949" t="s">
        <v>741</v>
      </c>
      <c r="B949" t="s">
        <v>156</v>
      </c>
      <c r="C949" t="s">
        <v>182</v>
      </c>
      <c r="E949" s="1">
        <v>2.3E-3</v>
      </c>
    </row>
    <row r="950" spans="1:5">
      <c r="A950" t="s">
        <v>533</v>
      </c>
      <c r="B950" t="s">
        <v>156</v>
      </c>
      <c r="C950" t="s">
        <v>180</v>
      </c>
      <c r="E950" s="1">
        <v>1.9E-3</v>
      </c>
    </row>
    <row r="951" spans="1:5">
      <c r="A951" t="s">
        <v>620</v>
      </c>
      <c r="B951" t="s">
        <v>156</v>
      </c>
      <c r="C951" t="s">
        <v>180</v>
      </c>
      <c r="E951" s="1">
        <v>1.8E-3</v>
      </c>
    </row>
    <row r="952" spans="1:5">
      <c r="A952" t="s">
        <v>742</v>
      </c>
      <c r="B952" t="s">
        <v>47</v>
      </c>
      <c r="C952" t="s">
        <v>180</v>
      </c>
      <c r="E952" s="1">
        <v>1.6000000000000001E-3</v>
      </c>
    </row>
    <row r="953" spans="1:5">
      <c r="A953" t="s">
        <v>334</v>
      </c>
      <c r="B953" t="s">
        <v>156</v>
      </c>
      <c r="C953" t="s">
        <v>176</v>
      </c>
      <c r="E953" s="1">
        <v>1.5E-3</v>
      </c>
    </row>
    <row r="954" spans="1:5">
      <c r="A954" t="s">
        <v>743</v>
      </c>
      <c r="B954" t="s">
        <v>39</v>
      </c>
      <c r="C954" t="s">
        <v>165</v>
      </c>
      <c r="E954" s="1">
        <v>1.5E-3</v>
      </c>
    </row>
    <row r="955" spans="1:5">
      <c r="A955" t="s">
        <v>347</v>
      </c>
      <c r="B955" t="s">
        <v>39</v>
      </c>
      <c r="C955" t="s">
        <v>182</v>
      </c>
      <c r="E955" s="1">
        <v>1.4E-3</v>
      </c>
    </row>
    <row r="956" spans="1:5">
      <c r="A956" t="s">
        <v>744</v>
      </c>
      <c r="B956" t="s">
        <v>35</v>
      </c>
      <c r="C956" t="s">
        <v>171</v>
      </c>
      <c r="E956" s="1">
        <v>1.4E-3</v>
      </c>
    </row>
    <row r="957" spans="1:5">
      <c r="A957" t="s">
        <v>745</v>
      </c>
      <c r="B957" t="s">
        <v>591</v>
      </c>
      <c r="C957" t="s">
        <v>182</v>
      </c>
      <c r="E957" s="1">
        <v>1.2999999999999999E-3</v>
      </c>
    </row>
    <row r="958" spans="1:5">
      <c r="A958" t="s">
        <v>746</v>
      </c>
      <c r="B958" t="s">
        <v>67</v>
      </c>
      <c r="C958" t="s">
        <v>180</v>
      </c>
      <c r="E958" s="1">
        <v>1.2999999999999999E-3</v>
      </c>
    </row>
    <row r="959" spans="1:5">
      <c r="A959" t="s">
        <v>233</v>
      </c>
      <c r="B959" t="s">
        <v>156</v>
      </c>
      <c r="C959" t="s">
        <v>180</v>
      </c>
      <c r="E959" s="1">
        <v>1.2999999999999999E-3</v>
      </c>
    </row>
    <row r="960" spans="1:5">
      <c r="A960" t="s">
        <v>747</v>
      </c>
      <c r="B960" t="s">
        <v>67</v>
      </c>
      <c r="C960" t="s">
        <v>180</v>
      </c>
      <c r="E960" s="1">
        <v>1.2999999999999999E-3</v>
      </c>
    </row>
    <row r="961" spans="1:5">
      <c r="A961" t="s">
        <v>748</v>
      </c>
      <c r="B961" t="s">
        <v>35</v>
      </c>
      <c r="C961" t="s">
        <v>176</v>
      </c>
      <c r="E961" s="1">
        <v>1.1999999999999999E-3</v>
      </c>
    </row>
    <row r="962" spans="1:5">
      <c r="A962" t="s">
        <v>749</v>
      </c>
      <c r="B962" t="s">
        <v>156</v>
      </c>
      <c r="C962" t="s">
        <v>176</v>
      </c>
      <c r="E962" s="1">
        <v>1.1999999999999999E-3</v>
      </c>
    </row>
    <row r="963" spans="1:5">
      <c r="A963" t="s">
        <v>750</v>
      </c>
      <c r="B963" t="s">
        <v>280</v>
      </c>
      <c r="C963" t="s">
        <v>165</v>
      </c>
      <c r="E963" s="1">
        <v>1.1000000000000001E-3</v>
      </c>
    </row>
    <row r="964" spans="1:5">
      <c r="A964" t="s">
        <v>751</v>
      </c>
      <c r="B964" t="s">
        <v>35</v>
      </c>
      <c r="C964" t="s">
        <v>193</v>
      </c>
      <c r="E964" s="1">
        <v>1.1000000000000001E-3</v>
      </c>
    </row>
    <row r="965" spans="1:5">
      <c r="A965" t="s">
        <v>752</v>
      </c>
      <c r="B965" t="s">
        <v>156</v>
      </c>
      <c r="C965" t="s">
        <v>165</v>
      </c>
      <c r="E965" s="1">
        <v>1.1000000000000001E-3</v>
      </c>
    </row>
    <row r="966" spans="1:5">
      <c r="A966" t="s">
        <v>753</v>
      </c>
      <c r="B966" t="s">
        <v>754</v>
      </c>
      <c r="C966" t="s">
        <v>182</v>
      </c>
      <c r="D966" s="1">
        <v>8.0000000000000004E-4</v>
      </c>
    </row>
    <row r="967" spans="1:5">
      <c r="A967" s="69" t="s">
        <v>156</v>
      </c>
      <c r="B967" s="69"/>
      <c r="C967" s="69"/>
      <c r="D967" s="70">
        <v>0</v>
      </c>
      <c r="E967" s="70">
        <f>SUM(E965,E962,E959,E953,E948:E951,E939,E929,E926,E920:E921,E917:E918,E914)</f>
        <v>0.1011</v>
      </c>
    </row>
    <row r="968" spans="1:5">
      <c r="A968" s="69" t="s">
        <v>206</v>
      </c>
      <c r="B968" s="69"/>
      <c r="C968" s="69"/>
      <c r="D968" s="70">
        <f>D946+D934+D930</f>
        <v>1.24E-2</v>
      </c>
      <c r="E968" s="70">
        <f>E941</f>
        <v>3.5999999999999999E-3</v>
      </c>
    </row>
    <row r="969" spans="1:5">
      <c r="A969" s="69" t="s">
        <v>157</v>
      </c>
      <c r="B969" s="69"/>
      <c r="C969" s="69"/>
      <c r="D969" s="70">
        <v>0</v>
      </c>
      <c r="E969" s="70">
        <f>SUM(E927)</f>
        <v>5.5999999999999999E-3</v>
      </c>
    </row>
    <row r="970" spans="1:5">
      <c r="A970" s="69" t="s">
        <v>207</v>
      </c>
      <c r="B970" s="69"/>
      <c r="C970" s="69"/>
      <c r="D970" s="70">
        <v>0</v>
      </c>
      <c r="E970" s="70">
        <f>E960+E958</f>
        <v>2.5999999999999999E-3</v>
      </c>
    </row>
    <row r="971" spans="1:5">
      <c r="A971" s="69" t="s">
        <v>208</v>
      </c>
      <c r="B971" s="69"/>
      <c r="C971" s="69"/>
      <c r="D971" s="70">
        <v>0</v>
      </c>
      <c r="E971" s="70">
        <f>E913</f>
        <v>2.0199999999999999E-2</v>
      </c>
    </row>
    <row r="972" spans="1:5">
      <c r="A972" t="s">
        <v>209</v>
      </c>
      <c r="D972" s="1">
        <f>SUM(D930,D934,D946)</f>
        <v>1.24E-2</v>
      </c>
      <c r="E972" s="1">
        <f>SUM(E910,E913:E914,E917:E921,E926:E927,E929,E939,E941,E945,E948:E951,E953,E957:E960,E962:E963,E965)</f>
        <v>0.18759999999999999</v>
      </c>
    </row>
    <row r="973" spans="1:5">
      <c r="A973" t="s">
        <v>150</v>
      </c>
      <c r="D973" s="1">
        <f>SUM(D899:D966)</f>
        <v>0.95810000000000017</v>
      </c>
      <c r="E973" s="1">
        <f>SUM(E899:E966)</f>
        <v>0.62019999999999975</v>
      </c>
    </row>
    <row r="975" spans="1:5">
      <c r="A975" t="s">
        <v>101</v>
      </c>
    </row>
    <row r="976" spans="1:5">
      <c r="A976" t="s">
        <v>755</v>
      </c>
      <c r="B976" t="s">
        <v>35</v>
      </c>
      <c r="C976" t="s">
        <v>211</v>
      </c>
      <c r="E976" s="1">
        <v>0.999</v>
      </c>
    </row>
    <row r="977" spans="1:5">
      <c r="A977" t="s">
        <v>756</v>
      </c>
      <c r="B977" t="s">
        <v>156</v>
      </c>
      <c r="C977" t="s">
        <v>165</v>
      </c>
      <c r="D977" s="1">
        <v>0.501</v>
      </c>
    </row>
    <row r="978" spans="1:5">
      <c r="A978" s="69" t="s">
        <v>156</v>
      </c>
      <c r="B978" s="69"/>
      <c r="C978" s="69"/>
      <c r="D978" s="70">
        <f>D977</f>
        <v>0.501</v>
      </c>
      <c r="E978" s="70">
        <v>0</v>
      </c>
    </row>
    <row r="979" spans="1:5">
      <c r="A979" s="69" t="s">
        <v>206</v>
      </c>
      <c r="B979" s="69"/>
      <c r="C979" s="69"/>
      <c r="D979" s="70">
        <v>0</v>
      </c>
      <c r="E979" s="70">
        <v>0</v>
      </c>
    </row>
    <row r="980" spans="1:5">
      <c r="A980" s="69" t="s">
        <v>157</v>
      </c>
      <c r="B980" s="69"/>
      <c r="C980" s="69"/>
      <c r="D980" s="70">
        <v>0</v>
      </c>
      <c r="E980" s="70">
        <v>0</v>
      </c>
    </row>
    <row r="981" spans="1:5">
      <c r="A981" s="69" t="s">
        <v>207</v>
      </c>
      <c r="B981" s="69"/>
      <c r="C981" s="69"/>
      <c r="D981" s="70">
        <v>0</v>
      </c>
      <c r="E981" s="70">
        <v>0</v>
      </c>
    </row>
    <row r="982" spans="1:5">
      <c r="A982" s="69" t="s">
        <v>208</v>
      </c>
      <c r="B982" s="69"/>
      <c r="C982" s="69"/>
      <c r="D982" s="70">
        <v>0</v>
      </c>
      <c r="E982" s="70">
        <v>0</v>
      </c>
    </row>
    <row r="983" spans="1:5">
      <c r="A983" t="s">
        <v>209</v>
      </c>
      <c r="D983" s="1">
        <f>D977</f>
        <v>0.501</v>
      </c>
      <c r="E983" s="1">
        <v>0</v>
      </c>
    </row>
    <row r="984" spans="1:5">
      <c r="A984" t="s">
        <v>150</v>
      </c>
      <c r="D984" s="1">
        <f>SUM(D976:D977)</f>
        <v>0.501</v>
      </c>
      <c r="E984" s="1">
        <f>SUM(E976:E977)</f>
        <v>0.999</v>
      </c>
    </row>
    <row r="986" spans="1:5">
      <c r="A986" t="s">
        <v>104</v>
      </c>
    </row>
    <row r="987" spans="1:5">
      <c r="A987" t="s">
        <v>105</v>
      </c>
      <c r="B987" t="s">
        <v>39</v>
      </c>
      <c r="C987" t="s">
        <v>165</v>
      </c>
      <c r="D987" s="1">
        <v>1</v>
      </c>
    </row>
    <row r="988" spans="1:5">
      <c r="A988" s="29" t="s">
        <v>53</v>
      </c>
      <c r="B988" s="29" t="s">
        <v>39</v>
      </c>
      <c r="C988" s="29" t="s">
        <v>165</v>
      </c>
      <c r="D988" s="30"/>
      <c r="E988" s="30">
        <f>D987*70%</f>
        <v>0.7</v>
      </c>
    </row>
    <row r="989" spans="1:5">
      <c r="A989" s="29" t="s">
        <v>757</v>
      </c>
      <c r="B989" s="29" t="s">
        <v>39</v>
      </c>
      <c r="C989" s="29" t="s">
        <v>193</v>
      </c>
      <c r="D989" s="30"/>
      <c r="E989" s="30">
        <f>D987*30%</f>
        <v>0.3</v>
      </c>
    </row>
    <row r="990" spans="1:5">
      <c r="A990" s="69" t="s">
        <v>156</v>
      </c>
      <c r="B990" s="69"/>
      <c r="C990" s="69"/>
      <c r="D990" s="70">
        <v>0</v>
      </c>
      <c r="E990" s="70">
        <v>0</v>
      </c>
    </row>
    <row r="991" spans="1:5">
      <c r="A991" s="69" t="s">
        <v>206</v>
      </c>
      <c r="B991" s="69"/>
      <c r="C991" s="69"/>
      <c r="D991" s="70">
        <v>0</v>
      </c>
      <c r="E991" s="70">
        <v>0</v>
      </c>
    </row>
    <row r="992" spans="1:5">
      <c r="A992" s="69" t="s">
        <v>157</v>
      </c>
      <c r="B992" s="69"/>
      <c r="C992" s="69"/>
      <c r="D992" s="70">
        <v>0</v>
      </c>
      <c r="E992" s="70">
        <v>0</v>
      </c>
    </row>
    <row r="993" spans="1:5">
      <c r="A993" s="69" t="s">
        <v>207</v>
      </c>
      <c r="B993" s="69"/>
      <c r="C993" s="69"/>
      <c r="D993" s="70">
        <v>0</v>
      </c>
      <c r="E993" s="70">
        <v>0</v>
      </c>
    </row>
    <row r="994" spans="1:5">
      <c r="A994" s="69" t="s">
        <v>208</v>
      </c>
      <c r="B994" s="69"/>
      <c r="C994" s="69"/>
      <c r="D994" s="70">
        <v>0</v>
      </c>
      <c r="E994" s="70">
        <v>0</v>
      </c>
    </row>
    <row r="995" spans="1:5">
      <c r="A995" t="s">
        <v>209</v>
      </c>
      <c r="D995" s="1">
        <v>0</v>
      </c>
      <c r="E995" s="1">
        <v>0</v>
      </c>
    </row>
    <row r="996" spans="1:5">
      <c r="A996" t="s">
        <v>150</v>
      </c>
      <c r="D996" s="1">
        <f>SUM(D987)</f>
        <v>1</v>
      </c>
      <c r="E996" s="1">
        <f>SUM(E987:E989)</f>
        <v>1</v>
      </c>
    </row>
    <row r="998" spans="1:5">
      <c r="A998" t="s">
        <v>758</v>
      </c>
    </row>
    <row r="999" spans="1:5">
      <c r="A999" t="s">
        <v>759</v>
      </c>
      <c r="B999" t="s">
        <v>760</v>
      </c>
      <c r="C999" t="s">
        <v>165</v>
      </c>
      <c r="D999" s="1">
        <v>0.99890000000000001</v>
      </c>
    </row>
    <row r="1000" spans="1:5">
      <c r="A1000" t="s">
        <v>761</v>
      </c>
      <c r="B1000" t="s">
        <v>62</v>
      </c>
      <c r="C1000" t="s">
        <v>211</v>
      </c>
      <c r="E1000" s="1">
        <f>D999*100%</f>
        <v>0.99890000000000001</v>
      </c>
    </row>
    <row r="1001" spans="1:5">
      <c r="A1001" t="s">
        <v>762</v>
      </c>
      <c r="B1001" t="s">
        <v>62</v>
      </c>
      <c r="C1001" t="s">
        <v>211</v>
      </c>
      <c r="D1001" s="1">
        <v>8.9999999999999998E-4</v>
      </c>
    </row>
    <row r="1002" spans="1:5">
      <c r="A1002" s="69" t="s">
        <v>156</v>
      </c>
      <c r="B1002" s="69"/>
      <c r="C1002" s="69"/>
      <c r="D1002" s="70">
        <v>0</v>
      </c>
      <c r="E1002" s="70">
        <v>0</v>
      </c>
    </row>
    <row r="1003" spans="1:5">
      <c r="A1003" s="69" t="s">
        <v>206</v>
      </c>
      <c r="B1003" s="69"/>
      <c r="C1003" s="69"/>
      <c r="D1003" s="70">
        <v>0</v>
      </c>
      <c r="E1003" s="70">
        <v>0</v>
      </c>
    </row>
    <row r="1004" spans="1:5">
      <c r="A1004" s="69" t="s">
        <v>157</v>
      </c>
      <c r="B1004" s="69"/>
      <c r="C1004" s="69"/>
      <c r="D1004" s="70">
        <v>0</v>
      </c>
      <c r="E1004" s="70">
        <v>0</v>
      </c>
    </row>
    <row r="1005" spans="1:5">
      <c r="A1005" s="69" t="s">
        <v>207</v>
      </c>
      <c r="B1005" s="69"/>
      <c r="C1005" s="69"/>
      <c r="D1005" s="70">
        <v>0</v>
      </c>
      <c r="E1005" s="70">
        <v>0</v>
      </c>
    </row>
    <row r="1006" spans="1:5">
      <c r="A1006" s="69" t="s">
        <v>208</v>
      </c>
      <c r="B1006" s="69"/>
      <c r="C1006" s="69"/>
      <c r="D1006" s="70">
        <v>0</v>
      </c>
      <c r="E1006" s="70">
        <v>0</v>
      </c>
    </row>
    <row r="1007" spans="1:5">
      <c r="A1007" t="s">
        <v>209</v>
      </c>
      <c r="D1007" s="1">
        <v>0</v>
      </c>
      <c r="E1007" s="1">
        <v>0</v>
      </c>
    </row>
    <row r="1008" spans="1:5">
      <c r="A1008" t="s">
        <v>150</v>
      </c>
      <c r="D1008" s="1">
        <f>SUM(D999:D1001)</f>
        <v>0.99980000000000002</v>
      </c>
      <c r="E1008" s="1">
        <f>SUM(E999:E1001)</f>
        <v>0.99890000000000001</v>
      </c>
    </row>
    <row r="1010" spans="1:5">
      <c r="A1010" t="s">
        <v>763</v>
      </c>
    </row>
    <row r="1011" spans="1:5">
      <c r="A1011" t="s">
        <v>764</v>
      </c>
      <c r="B1011" t="s">
        <v>44</v>
      </c>
      <c r="C1011" t="s">
        <v>176</v>
      </c>
      <c r="D1011" s="1">
        <v>1.8200000000000001E-2</v>
      </c>
    </row>
    <row r="1012" spans="1:5">
      <c r="A1012" s="29" t="s">
        <v>765</v>
      </c>
      <c r="B1012" s="29" t="s">
        <v>44</v>
      </c>
      <c r="C1012" s="29" t="s">
        <v>165</v>
      </c>
      <c r="D1012" s="30"/>
      <c r="E1012" s="30">
        <f>D1011*100%</f>
        <v>1.8200000000000001E-2</v>
      </c>
    </row>
    <row r="1013" spans="1:5">
      <c r="A1013" s="69" t="s">
        <v>156</v>
      </c>
      <c r="B1013" s="69"/>
      <c r="C1013" s="69"/>
      <c r="D1013" s="70">
        <v>0</v>
      </c>
      <c r="E1013" s="70">
        <v>0</v>
      </c>
    </row>
    <row r="1014" spans="1:5">
      <c r="A1014" s="69" t="s">
        <v>206</v>
      </c>
      <c r="B1014" s="69"/>
      <c r="C1014" s="69"/>
      <c r="D1014" s="70">
        <v>0</v>
      </c>
      <c r="E1014" s="70">
        <v>0</v>
      </c>
    </row>
    <row r="1015" spans="1:5">
      <c r="A1015" s="69" t="s">
        <v>157</v>
      </c>
      <c r="B1015" s="69"/>
      <c r="C1015" s="69"/>
      <c r="D1015" s="70">
        <v>0</v>
      </c>
      <c r="E1015" s="70">
        <v>0</v>
      </c>
    </row>
    <row r="1016" spans="1:5">
      <c r="A1016" s="69" t="s">
        <v>207</v>
      </c>
      <c r="B1016" s="69"/>
      <c r="C1016" s="69"/>
      <c r="D1016" s="70">
        <v>0</v>
      </c>
      <c r="E1016" s="70">
        <v>0</v>
      </c>
    </row>
    <row r="1017" spans="1:5">
      <c r="A1017" s="69" t="s">
        <v>208</v>
      </c>
      <c r="B1017" s="69"/>
      <c r="C1017" s="69"/>
      <c r="D1017" s="70">
        <v>0</v>
      </c>
      <c r="E1017" s="70">
        <v>0</v>
      </c>
    </row>
    <row r="1018" spans="1:5">
      <c r="A1018" t="s">
        <v>209</v>
      </c>
      <c r="D1018" s="1">
        <v>0</v>
      </c>
      <c r="E1018" s="1">
        <v>0</v>
      </c>
    </row>
    <row r="1019" spans="1:5">
      <c r="A1019" t="s">
        <v>150</v>
      </c>
      <c r="D1019" s="1">
        <f>SUM(D1011)</f>
        <v>1.8200000000000001E-2</v>
      </c>
      <c r="E1019" s="1">
        <f>SUM(E1011)</f>
        <v>0</v>
      </c>
    </row>
    <row r="1021" spans="1:5">
      <c r="A1021" t="s">
        <v>766</v>
      </c>
    </row>
    <row r="1022" spans="1:5">
      <c r="A1022" t="s">
        <v>129</v>
      </c>
      <c r="B1022" t="s">
        <v>35</v>
      </c>
      <c r="C1022" t="s">
        <v>211</v>
      </c>
      <c r="E1022" s="1">
        <v>1</v>
      </c>
    </row>
    <row r="1023" spans="1:5">
      <c r="A1023" s="69" t="s">
        <v>156</v>
      </c>
      <c r="B1023" s="69"/>
      <c r="C1023" s="69"/>
      <c r="D1023" s="70">
        <v>0</v>
      </c>
      <c r="E1023" s="70">
        <v>0</v>
      </c>
    </row>
    <row r="1024" spans="1:5">
      <c r="A1024" s="69" t="s">
        <v>206</v>
      </c>
      <c r="B1024" s="69"/>
      <c r="C1024" s="69"/>
      <c r="D1024" s="70">
        <v>0</v>
      </c>
      <c r="E1024" s="70">
        <v>0</v>
      </c>
    </row>
    <row r="1025" spans="1:5">
      <c r="A1025" s="69" t="s">
        <v>157</v>
      </c>
      <c r="B1025" s="69"/>
      <c r="C1025" s="69"/>
      <c r="D1025" s="70">
        <v>0</v>
      </c>
      <c r="E1025" s="70">
        <v>0</v>
      </c>
    </row>
    <row r="1026" spans="1:5">
      <c r="A1026" s="69" t="s">
        <v>207</v>
      </c>
      <c r="B1026" s="69"/>
      <c r="C1026" s="69"/>
      <c r="D1026" s="70">
        <v>0</v>
      </c>
      <c r="E1026" s="70">
        <v>0</v>
      </c>
    </row>
    <row r="1027" spans="1:5">
      <c r="A1027" s="69" t="s">
        <v>208</v>
      </c>
      <c r="B1027" s="69"/>
      <c r="C1027" s="69"/>
      <c r="D1027" s="70">
        <v>0</v>
      </c>
      <c r="E1027" s="70">
        <v>0</v>
      </c>
    </row>
    <row r="1028" spans="1:5">
      <c r="A1028" t="s">
        <v>209</v>
      </c>
      <c r="D1028" s="1">
        <v>0</v>
      </c>
      <c r="E1028" s="1">
        <v>0</v>
      </c>
    </row>
    <row r="1029" spans="1:5">
      <c r="A1029" t="s">
        <v>150</v>
      </c>
      <c r="D1029" s="1">
        <f>SUM(D1022)</f>
        <v>0</v>
      </c>
      <c r="E1029" s="1">
        <f>SUM(E1022)</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E9EA-A273-46C3-A450-E19DE6C963A5}">
  <dimension ref="A1:F51"/>
  <sheetViews>
    <sheetView topLeftCell="A4" workbookViewId="0">
      <selection activeCell="F2" sqref="F2"/>
    </sheetView>
  </sheetViews>
  <sheetFormatPr defaultRowHeight="14.45"/>
  <cols>
    <col min="1" max="1" width="7" bestFit="1" customWidth="1"/>
    <col min="2" max="2" width="7" customWidth="1"/>
    <col min="3" max="3" width="15.42578125" bestFit="1" customWidth="1"/>
    <col min="4" max="4" width="15.42578125" customWidth="1"/>
    <col min="5" max="5" width="21.85546875" bestFit="1" customWidth="1"/>
    <col min="6" max="6" width="15.28515625" bestFit="1" customWidth="1"/>
  </cols>
  <sheetData>
    <row r="1" spans="1:6" s="4" customFormat="1">
      <c r="A1" s="4" t="s">
        <v>767</v>
      </c>
      <c r="B1" s="4" t="s">
        <v>1</v>
      </c>
      <c r="C1" s="4" t="s">
        <v>768</v>
      </c>
      <c r="D1" s="4" t="s">
        <v>1</v>
      </c>
      <c r="E1" s="4" t="s">
        <v>769</v>
      </c>
      <c r="F1" s="4" t="s">
        <v>770</v>
      </c>
    </row>
    <row r="2" spans="1:6">
      <c r="A2" s="2" t="s">
        <v>771</v>
      </c>
      <c r="B2" s="2" t="s">
        <v>156</v>
      </c>
      <c r="C2" t="s">
        <v>772</v>
      </c>
      <c r="D2" t="s">
        <v>773</v>
      </c>
      <c r="E2" t="s">
        <v>774</v>
      </c>
      <c r="F2" t="s">
        <v>775</v>
      </c>
    </row>
    <row r="3" spans="1:6">
      <c r="A3" s="2" t="s">
        <v>776</v>
      </c>
      <c r="B3" s="2" t="s">
        <v>777</v>
      </c>
      <c r="C3" t="s">
        <v>778</v>
      </c>
      <c r="D3" t="s">
        <v>777</v>
      </c>
      <c r="E3" t="s">
        <v>779</v>
      </c>
      <c r="F3" t="s">
        <v>775</v>
      </c>
    </row>
    <row r="4" spans="1:6">
      <c r="A4" s="3" t="s">
        <v>780</v>
      </c>
      <c r="B4" s="3" t="s">
        <v>41</v>
      </c>
      <c r="C4" t="s">
        <v>781</v>
      </c>
      <c r="D4" t="s">
        <v>39</v>
      </c>
      <c r="E4" t="s">
        <v>782</v>
      </c>
      <c r="F4" t="s">
        <v>775</v>
      </c>
    </row>
    <row r="5" spans="1:6">
      <c r="A5" s="2" t="s">
        <v>783</v>
      </c>
      <c r="B5" s="2" t="s">
        <v>156</v>
      </c>
      <c r="C5" t="s">
        <v>784</v>
      </c>
      <c r="D5" t="s">
        <v>156</v>
      </c>
      <c r="E5" t="s">
        <v>785</v>
      </c>
      <c r="F5" t="s">
        <v>775</v>
      </c>
    </row>
    <row r="6" spans="1:6">
      <c r="A6" s="2" t="s">
        <v>786</v>
      </c>
    </row>
    <row r="7" spans="1:6">
      <c r="A7" s="2" t="s">
        <v>787</v>
      </c>
      <c r="B7" s="2" t="s">
        <v>777</v>
      </c>
      <c r="C7" t="s">
        <v>788</v>
      </c>
      <c r="D7" t="s">
        <v>789</v>
      </c>
      <c r="E7" t="s">
        <v>790</v>
      </c>
      <c r="F7" t="s">
        <v>775</v>
      </c>
    </row>
    <row r="8" spans="1:6">
      <c r="A8" s="2" t="s">
        <v>791</v>
      </c>
      <c r="B8" s="2" t="s">
        <v>35</v>
      </c>
      <c r="C8" t="s">
        <v>792</v>
      </c>
      <c r="D8" t="s">
        <v>35</v>
      </c>
      <c r="E8" t="s">
        <v>793</v>
      </c>
      <c r="F8" t="s">
        <v>775</v>
      </c>
    </row>
    <row r="9" spans="1:6">
      <c r="A9" s="2" t="s">
        <v>794</v>
      </c>
      <c r="B9" s="2" t="s">
        <v>156</v>
      </c>
      <c r="C9" t="s">
        <v>795</v>
      </c>
      <c r="D9" t="s">
        <v>157</v>
      </c>
      <c r="E9" t="s">
        <v>796</v>
      </c>
      <c r="F9" t="s">
        <v>775</v>
      </c>
    </row>
    <row r="10" spans="1:6">
      <c r="A10" s="2" t="s">
        <v>797</v>
      </c>
      <c r="B10" s="2" t="s">
        <v>156</v>
      </c>
      <c r="C10" t="s">
        <v>798</v>
      </c>
      <c r="D10" t="s">
        <v>156</v>
      </c>
      <c r="E10" t="s">
        <v>799</v>
      </c>
      <c r="F10" t="s">
        <v>775</v>
      </c>
    </row>
    <row r="11" spans="1:6">
      <c r="A11" s="2" t="s">
        <v>800</v>
      </c>
      <c r="B11" s="2" t="s">
        <v>35</v>
      </c>
      <c r="C11" t="s">
        <v>801</v>
      </c>
      <c r="D11" t="s">
        <v>156</v>
      </c>
      <c r="E11" t="s">
        <v>802</v>
      </c>
      <c r="F11" t="s">
        <v>803</v>
      </c>
    </row>
    <row r="12" spans="1:6" ht="28.9">
      <c r="A12" s="3" t="s">
        <v>804</v>
      </c>
      <c r="B12" s="2" t="s">
        <v>35</v>
      </c>
      <c r="C12" t="s">
        <v>805</v>
      </c>
      <c r="D12" t="s">
        <v>806</v>
      </c>
      <c r="E12" t="s">
        <v>807</v>
      </c>
      <c r="F12" t="s">
        <v>775</v>
      </c>
    </row>
    <row r="13" spans="1:6">
      <c r="A13" s="2" t="s">
        <v>808</v>
      </c>
      <c r="B13" s="2" t="s">
        <v>41</v>
      </c>
      <c r="C13" t="s">
        <v>809</v>
      </c>
      <c r="D13" t="s">
        <v>810</v>
      </c>
      <c r="E13" t="s">
        <v>811</v>
      </c>
      <c r="F13" t="s">
        <v>775</v>
      </c>
    </row>
    <row r="14" spans="1:6">
      <c r="A14" s="2" t="s">
        <v>812</v>
      </c>
      <c r="B14" s="2" t="s">
        <v>156</v>
      </c>
      <c r="C14" t="s">
        <v>813</v>
      </c>
      <c r="D14" t="s">
        <v>156</v>
      </c>
      <c r="E14" t="s">
        <v>785</v>
      </c>
      <c r="F14" t="s">
        <v>775</v>
      </c>
    </row>
    <row r="15" spans="1:6">
      <c r="A15" s="2" t="s">
        <v>814</v>
      </c>
      <c r="B15" s="2" t="s">
        <v>41</v>
      </c>
      <c r="C15" t="s">
        <v>815</v>
      </c>
      <c r="D15" t="s">
        <v>41</v>
      </c>
      <c r="E15" t="s">
        <v>816</v>
      </c>
      <c r="F15" t="s">
        <v>775</v>
      </c>
    </row>
    <row r="16" spans="1:6">
      <c r="A16" s="2" t="s">
        <v>817</v>
      </c>
      <c r="B16" s="2" t="s">
        <v>35</v>
      </c>
      <c r="C16" t="s">
        <v>818</v>
      </c>
      <c r="D16" t="s">
        <v>35</v>
      </c>
      <c r="E16" t="s">
        <v>819</v>
      </c>
      <c r="F16" t="s">
        <v>775</v>
      </c>
    </row>
    <row r="17" spans="1:6">
      <c r="A17" s="2" t="s">
        <v>820</v>
      </c>
      <c r="B17" s="2" t="s">
        <v>157</v>
      </c>
      <c r="C17" t="s">
        <v>821</v>
      </c>
      <c r="D17" t="s">
        <v>157</v>
      </c>
      <c r="E17" t="s">
        <v>822</v>
      </c>
      <c r="F17" t="s">
        <v>775</v>
      </c>
    </row>
    <row r="18" spans="1:6">
      <c r="A18" s="2" t="s">
        <v>823</v>
      </c>
      <c r="B18" s="2" t="s">
        <v>824</v>
      </c>
      <c r="C18" t="s">
        <v>825</v>
      </c>
      <c r="D18" t="s">
        <v>824</v>
      </c>
      <c r="E18" t="s">
        <v>826</v>
      </c>
      <c r="F18" t="s">
        <v>775</v>
      </c>
    </row>
    <row r="19" spans="1:6">
      <c r="A19" s="2" t="s">
        <v>827</v>
      </c>
      <c r="B19" s="2" t="s">
        <v>35</v>
      </c>
      <c r="C19" t="s">
        <v>828</v>
      </c>
      <c r="D19" t="s">
        <v>35</v>
      </c>
      <c r="E19" t="s">
        <v>829</v>
      </c>
      <c r="F19" t="s">
        <v>775</v>
      </c>
    </row>
    <row r="20" spans="1:6">
      <c r="A20" s="2" t="s">
        <v>830</v>
      </c>
      <c r="B20" s="2" t="s">
        <v>41</v>
      </c>
      <c r="C20" t="s">
        <v>831</v>
      </c>
      <c r="D20" t="s">
        <v>832</v>
      </c>
      <c r="E20" t="s">
        <v>833</v>
      </c>
      <c r="F20" t="s">
        <v>775</v>
      </c>
    </row>
    <row r="21" spans="1:6">
      <c r="A21" s="2" t="s">
        <v>834</v>
      </c>
      <c r="B21" s="2" t="s">
        <v>47</v>
      </c>
      <c r="C21" t="s">
        <v>835</v>
      </c>
      <c r="D21" t="s">
        <v>47</v>
      </c>
      <c r="E21" t="s">
        <v>836</v>
      </c>
      <c r="F21" t="s">
        <v>775</v>
      </c>
    </row>
    <row r="22" spans="1:6">
      <c r="A22" s="2" t="s">
        <v>837</v>
      </c>
      <c r="B22" s="2" t="s">
        <v>47</v>
      </c>
      <c r="C22" t="s">
        <v>838</v>
      </c>
      <c r="D22" t="s">
        <v>839</v>
      </c>
      <c r="E22" t="s">
        <v>840</v>
      </c>
      <c r="F22" t="s">
        <v>841</v>
      </c>
    </row>
    <row r="23" spans="1:6">
      <c r="A23" s="2" t="s">
        <v>842</v>
      </c>
      <c r="B23" s="2" t="s">
        <v>35</v>
      </c>
      <c r="C23" t="s">
        <v>843</v>
      </c>
      <c r="D23" t="s">
        <v>41</v>
      </c>
      <c r="E23" t="s">
        <v>816</v>
      </c>
      <c r="F23" t="s">
        <v>775</v>
      </c>
    </row>
    <row r="24" spans="1:6">
      <c r="A24" s="2" t="s">
        <v>844</v>
      </c>
      <c r="B24" s="2" t="s">
        <v>35</v>
      </c>
      <c r="C24" t="s">
        <v>845</v>
      </c>
      <c r="D24" t="s">
        <v>35</v>
      </c>
      <c r="E24" t="s">
        <v>846</v>
      </c>
      <c r="F24" t="s">
        <v>775</v>
      </c>
    </row>
    <row r="25" spans="1:6">
      <c r="A25" s="2" t="s">
        <v>847</v>
      </c>
      <c r="B25" s="2" t="s">
        <v>773</v>
      </c>
      <c r="C25" t="s">
        <v>848</v>
      </c>
      <c r="D25" t="s">
        <v>849</v>
      </c>
      <c r="E25" t="s">
        <v>850</v>
      </c>
      <c r="F25" t="s">
        <v>775</v>
      </c>
    </row>
    <row r="26" spans="1:6">
      <c r="A26" s="2" t="s">
        <v>851</v>
      </c>
      <c r="B26" s="2" t="s">
        <v>156</v>
      </c>
      <c r="C26" t="s">
        <v>852</v>
      </c>
      <c r="D26" t="s">
        <v>156</v>
      </c>
      <c r="E26" t="s">
        <v>853</v>
      </c>
      <c r="F26" t="s">
        <v>775</v>
      </c>
    </row>
    <row r="27" spans="1:6">
      <c r="A27" s="2" t="s">
        <v>854</v>
      </c>
      <c r="B27" s="2" t="s">
        <v>156</v>
      </c>
      <c r="C27" t="s">
        <v>855</v>
      </c>
      <c r="D27" t="s">
        <v>156</v>
      </c>
      <c r="E27" t="s">
        <v>785</v>
      </c>
      <c r="F27" t="s">
        <v>775</v>
      </c>
    </row>
    <row r="28" spans="1:6">
      <c r="A28" s="2" t="s">
        <v>856</v>
      </c>
      <c r="B28" s="2" t="s">
        <v>47</v>
      </c>
      <c r="C28" t="s">
        <v>857</v>
      </c>
      <c r="D28" t="s">
        <v>157</v>
      </c>
      <c r="E28" t="s">
        <v>858</v>
      </c>
      <c r="F28" t="s">
        <v>775</v>
      </c>
    </row>
    <row r="29" spans="1:6">
      <c r="A29" s="2" t="s">
        <v>859</v>
      </c>
      <c r="B29" s="2" t="s">
        <v>156</v>
      </c>
      <c r="C29" t="s">
        <v>860</v>
      </c>
      <c r="D29" t="s">
        <v>861</v>
      </c>
      <c r="E29" t="s">
        <v>862</v>
      </c>
      <c r="F29" t="s">
        <v>841</v>
      </c>
    </row>
    <row r="30" spans="1:6">
      <c r="A30" s="2" t="s">
        <v>863</v>
      </c>
      <c r="B30" s="2" t="s">
        <v>773</v>
      </c>
      <c r="C30" t="s">
        <v>864</v>
      </c>
      <c r="D30" t="s">
        <v>773</v>
      </c>
      <c r="E30" t="s">
        <v>865</v>
      </c>
      <c r="F30" t="s">
        <v>775</v>
      </c>
    </row>
    <row r="31" spans="1:6">
      <c r="A31" s="2" t="s">
        <v>866</v>
      </c>
      <c r="B31" s="2" t="s">
        <v>41</v>
      </c>
      <c r="C31" t="s">
        <v>867</v>
      </c>
      <c r="D31" t="s">
        <v>157</v>
      </c>
      <c r="E31" t="s">
        <v>868</v>
      </c>
      <c r="F31" t="s">
        <v>775</v>
      </c>
    </row>
    <row r="32" spans="1:6">
      <c r="A32" s="2" t="s">
        <v>869</v>
      </c>
      <c r="B32" s="2" t="s">
        <v>33</v>
      </c>
      <c r="C32" t="s">
        <v>870</v>
      </c>
      <c r="D32" t="s">
        <v>871</v>
      </c>
      <c r="E32" t="s">
        <v>872</v>
      </c>
      <c r="F32" t="s">
        <v>775</v>
      </c>
    </row>
    <row r="33" spans="1:6">
      <c r="A33" s="2" t="s">
        <v>873</v>
      </c>
      <c r="B33" s="2" t="s">
        <v>156</v>
      </c>
      <c r="C33" t="s">
        <v>874</v>
      </c>
      <c r="D33" t="s">
        <v>839</v>
      </c>
      <c r="E33" t="s">
        <v>875</v>
      </c>
      <c r="F33" t="s">
        <v>775</v>
      </c>
    </row>
    <row r="34" spans="1:6">
      <c r="A34" s="2" t="s">
        <v>876</v>
      </c>
      <c r="B34" s="2" t="s">
        <v>41</v>
      </c>
      <c r="C34" t="s">
        <v>877</v>
      </c>
      <c r="E34" t="s">
        <v>878</v>
      </c>
      <c r="F34" t="s">
        <v>775</v>
      </c>
    </row>
    <row r="35" spans="1:6">
      <c r="A35" s="2" t="s">
        <v>879</v>
      </c>
      <c r="B35" s="2" t="s">
        <v>41</v>
      </c>
      <c r="C35" t="s">
        <v>880</v>
      </c>
      <c r="D35" t="s">
        <v>157</v>
      </c>
      <c r="E35" t="s">
        <v>881</v>
      </c>
      <c r="F35" t="s">
        <v>775</v>
      </c>
    </row>
    <row r="36" spans="1:6">
      <c r="A36" s="2" t="s">
        <v>882</v>
      </c>
      <c r="B36" s="2" t="s">
        <v>157</v>
      </c>
      <c r="C36" t="s">
        <v>883</v>
      </c>
      <c r="D36" t="s">
        <v>41</v>
      </c>
      <c r="E36" t="s">
        <v>884</v>
      </c>
      <c r="F36" t="s">
        <v>775</v>
      </c>
    </row>
    <row r="37" spans="1:6">
      <c r="A37" s="2" t="s">
        <v>885</v>
      </c>
      <c r="B37" s="2" t="s">
        <v>35</v>
      </c>
      <c r="C37" t="s">
        <v>48</v>
      </c>
      <c r="D37" t="s">
        <v>35</v>
      </c>
      <c r="E37" t="s">
        <v>77</v>
      </c>
      <c r="F37" t="s">
        <v>775</v>
      </c>
    </row>
    <row r="38" spans="1:6">
      <c r="A38" s="2" t="s">
        <v>886</v>
      </c>
      <c r="B38" s="2" t="s">
        <v>61</v>
      </c>
      <c r="C38" t="s">
        <v>887</v>
      </c>
      <c r="D38" t="s">
        <v>888</v>
      </c>
      <c r="E38" t="s">
        <v>889</v>
      </c>
    </row>
    <row r="39" spans="1:6">
      <c r="A39" s="2" t="s">
        <v>890</v>
      </c>
      <c r="B39" s="2" t="s">
        <v>35</v>
      </c>
      <c r="C39" t="s">
        <v>891</v>
      </c>
      <c r="D39" t="s">
        <v>892</v>
      </c>
      <c r="E39" t="s">
        <v>893</v>
      </c>
      <c r="F39" t="s">
        <v>841</v>
      </c>
    </row>
    <row r="40" spans="1:6">
      <c r="A40" s="2" t="s">
        <v>894</v>
      </c>
      <c r="B40" s="2" t="s">
        <v>777</v>
      </c>
      <c r="C40" t="s">
        <v>895</v>
      </c>
      <c r="D40" t="s">
        <v>157</v>
      </c>
      <c r="E40" t="s">
        <v>881</v>
      </c>
      <c r="F40" t="s">
        <v>775</v>
      </c>
    </row>
    <row r="41" spans="1:6">
      <c r="A41" s="2" t="s">
        <v>896</v>
      </c>
      <c r="B41" s="2" t="s">
        <v>47</v>
      </c>
      <c r="C41" t="s">
        <v>838</v>
      </c>
      <c r="D41" t="s">
        <v>156</v>
      </c>
      <c r="E41" t="s">
        <v>802</v>
      </c>
      <c r="F41" t="s">
        <v>841</v>
      </c>
    </row>
    <row r="42" spans="1:6">
      <c r="A42" s="2" t="s">
        <v>897</v>
      </c>
      <c r="B42" s="2" t="s">
        <v>44</v>
      </c>
      <c r="C42" t="s">
        <v>898</v>
      </c>
      <c r="D42" t="s">
        <v>156</v>
      </c>
      <c r="E42" t="s">
        <v>899</v>
      </c>
    </row>
    <row r="43" spans="1:6">
      <c r="A43" s="2" t="s">
        <v>900</v>
      </c>
      <c r="B43" s="2" t="s">
        <v>41</v>
      </c>
      <c r="C43" t="s">
        <v>815</v>
      </c>
      <c r="D43" t="s">
        <v>35</v>
      </c>
      <c r="E43" t="s">
        <v>117</v>
      </c>
      <c r="F43" t="s">
        <v>901</v>
      </c>
    </row>
    <row r="44" spans="1:6">
      <c r="A44" s="2" t="s">
        <v>902</v>
      </c>
      <c r="B44" s="2" t="s">
        <v>41</v>
      </c>
      <c r="C44" t="s">
        <v>903</v>
      </c>
      <c r="D44" t="s">
        <v>157</v>
      </c>
      <c r="E44" t="s">
        <v>881</v>
      </c>
      <c r="F44" t="s">
        <v>775</v>
      </c>
    </row>
    <row r="45" spans="1:6">
      <c r="A45" s="2" t="s">
        <v>904</v>
      </c>
      <c r="B45" s="2" t="s">
        <v>35</v>
      </c>
      <c r="C45" t="s">
        <v>905</v>
      </c>
      <c r="D45" t="s">
        <v>35</v>
      </c>
      <c r="E45" t="s">
        <v>906</v>
      </c>
      <c r="F45" t="s">
        <v>775</v>
      </c>
    </row>
    <row r="46" spans="1:6">
      <c r="A46" s="2" t="s">
        <v>907</v>
      </c>
      <c r="B46" s="2" t="s">
        <v>35</v>
      </c>
      <c r="C46" t="s">
        <v>908</v>
      </c>
      <c r="D46" t="s">
        <v>35</v>
      </c>
      <c r="E46" t="s">
        <v>117</v>
      </c>
      <c r="F46" t="s">
        <v>775</v>
      </c>
    </row>
    <row r="47" spans="1:6">
      <c r="A47" s="2" t="s">
        <v>909</v>
      </c>
      <c r="B47" s="2" t="s">
        <v>156</v>
      </c>
      <c r="C47" t="s">
        <v>910</v>
      </c>
      <c r="D47" t="s">
        <v>156</v>
      </c>
      <c r="E47" t="s">
        <v>911</v>
      </c>
      <c r="F47" t="s">
        <v>775</v>
      </c>
    </row>
    <row r="48" spans="1:6">
      <c r="A48" s="2" t="s">
        <v>912</v>
      </c>
      <c r="B48" s="2" t="s">
        <v>157</v>
      </c>
      <c r="C48" t="s">
        <v>881</v>
      </c>
      <c r="D48" t="s">
        <v>157</v>
      </c>
      <c r="E48" t="s">
        <v>913</v>
      </c>
      <c r="F48" t="s">
        <v>775</v>
      </c>
    </row>
    <row r="49" spans="1:6">
      <c r="A49" s="2" t="s">
        <v>914</v>
      </c>
      <c r="B49" s="2" t="s">
        <v>35</v>
      </c>
      <c r="C49" t="s">
        <v>891</v>
      </c>
      <c r="D49" t="s">
        <v>156</v>
      </c>
      <c r="E49" t="s">
        <v>785</v>
      </c>
      <c r="F49" t="s">
        <v>803</v>
      </c>
    </row>
    <row r="50" spans="1:6">
      <c r="A50" s="2" t="s">
        <v>915</v>
      </c>
      <c r="B50" s="2" t="s">
        <v>156</v>
      </c>
      <c r="C50" t="s">
        <v>916</v>
      </c>
      <c r="D50" t="s">
        <v>156</v>
      </c>
      <c r="E50" t="s">
        <v>917</v>
      </c>
      <c r="F50" t="s">
        <v>775</v>
      </c>
    </row>
    <row r="51" spans="1:6">
      <c r="A51" s="2" t="s">
        <v>918</v>
      </c>
      <c r="B51" s="2" t="s">
        <v>157</v>
      </c>
      <c r="C51" t="s">
        <v>919</v>
      </c>
      <c r="D51" t="s">
        <v>156</v>
      </c>
      <c r="E51" t="s">
        <v>920</v>
      </c>
      <c r="F51" t="s">
        <v>775</v>
      </c>
    </row>
  </sheetData>
  <hyperlinks>
    <hyperlink ref="A2" r:id="rId1" display="https://competition-cases.ec.europa.eu/cases/M.53" xr:uid="{A607C144-CBE7-48D2-A4B9-D58AD3170796}"/>
    <hyperlink ref="A3" r:id="rId2" display="https://competition-cases.ec.europa.eu/cases/M.178" xr:uid="{6A6431A3-0949-4A8D-B8C2-664A7CDFF62E}"/>
    <hyperlink ref="A4" r:id="rId3" display="https://competition-cases.ec.europa.eu/cases/M.237" xr:uid="{CFC7C059-7A8A-427A-9526-D001DC50E38D}"/>
    <hyperlink ref="A5" r:id="rId4" display="https://competition-cases.ec.europa.eu/cases/M.877" xr:uid="{A5EB1BB5-D39B-4FF5-A68A-40370C172A83}"/>
    <hyperlink ref="A6" r:id="rId5" display="https://competition-cases.ec.europa.eu/cases/M.1185" xr:uid="{F15CA5AE-229C-4915-97BF-194656B8E641}"/>
    <hyperlink ref="A7" r:id="rId6" display="https://competition-cases.ec.europa.eu/cases/M.1198" xr:uid="{15AF0CC0-4631-48D4-8B35-1B2046CE7BAD}"/>
    <hyperlink ref="A8" r:id="rId7" display="https://competition-cases.ec.europa.eu/cases/M.1309" xr:uid="{9FCF3D42-F0A4-410E-9EFA-B3A19C58F226}"/>
    <hyperlink ref="A9" r:id="rId8" display="https://competition-cases.ec.europa.eu/cases/M.1438" xr:uid="{10DDD714-5940-4F37-837B-0986F3EB386F}"/>
    <hyperlink ref="A10" r:id="rId9" display="https://competition-cases.ec.europa.eu/cases/M.1601" xr:uid="{E416ED2A-25CB-4E8A-8AF2-263E1E9CD593}"/>
    <hyperlink ref="A11" r:id="rId10" display="https://competition-cases.ec.europa.eu/cases/M.1786" xr:uid="{09751ABE-3013-4BA0-89CC-46D0083AAF79}"/>
    <hyperlink ref="A12" r:id="rId11" display="https://competition-cases.ec.europa.eu/cases/M.1636" xr:uid="{1508F0C5-F9BE-45CF-A323-D9436AF4CEC9}"/>
    <hyperlink ref="A13" r:id="rId12" display="https://competition-cases.ec.europa.eu/cases/M.1745" xr:uid="{E3F69575-01EF-43DD-B42C-63B452685989}"/>
    <hyperlink ref="A14" r:id="rId13" display="https://competition-cases.ec.europa.eu/cases/M.1879" xr:uid="{E60DD1C5-CC96-44E9-A6B0-6FAAB52E2687}"/>
    <hyperlink ref="A15" r:id="rId14" display="https://competition-cases.ec.europa.eu/cases/M.2061" xr:uid="{DF120A72-EA24-4BBE-A97B-3E957107809A}"/>
    <hyperlink ref="A16" r:id="rId15" display="https://competition-cases.ec.europa.eu/cases/M.2168" xr:uid="{7E5015DD-B3D3-4B35-8B6C-8E83B83A7663}"/>
    <hyperlink ref="A17" r:id="rId16" display="https://competition-cases.ec.europa.eu/cases/M.2183" xr:uid="{28287917-D941-4D54-AD8A-162A51CF76C5}"/>
    <hyperlink ref="A18" r:id="rId17" display="https://competition-cases.ec.europa.eu/cases/M.2437" xr:uid="{78FC71D0-FDCC-4836-8C7D-235AFAFD5340}"/>
    <hyperlink ref="A19" r:id="rId18" display="https://competition-cases.ec.europa.eu/cases/M.2488" xr:uid="{B8D657D3-EAE5-42AD-90BB-069CFBDFA5BD}"/>
    <hyperlink ref="A20" r:id="rId19" display="https://competition-cases.ec.europa.eu/cases/M.2438" xr:uid="{62A42DD5-ACD0-45CE-B1E1-050B07FF06D6}"/>
    <hyperlink ref="A21" r:id="rId20" display="https://competition-cases.ec.europa.eu/cases/M.2949" xr:uid="{27589E1E-7095-4B25-ABC7-DF223B85826C}"/>
    <hyperlink ref="A22" r:id="rId21" display="https://competition-cases.ec.europa.eu/cases/M.3217" xr:uid="{C7B7D1EB-E9A2-4C41-8DCC-07BFA7307C7C}"/>
    <hyperlink ref="A23" r:id="rId22" display="https://competition-cases.ec.europa.eu/cases/M.3220" xr:uid="{3D1336B8-4EBA-4D53-AE8C-D3661DCCDDAB}"/>
    <hyperlink ref="A24" r:id="rId23" display="https://competition-cases.ec.europa.eu/cases/M.3621" xr:uid="{8270FEBB-2DA9-43E7-A8FF-38970DAA3567}"/>
    <hyperlink ref="A25" r:id="rId24" display="https://competition-cases.ec.europa.eu/cases/M.3680" xr:uid="{E7C91562-85E9-4C6E-ADBF-756BC1727EA2}"/>
    <hyperlink ref="A26" r:id="rId25" display="https://competition-cases.ec.europa.eu/cases/M.3856" xr:uid="{74464791-0C14-4716-A8EE-B299EA478BEE}"/>
    <hyperlink ref="A27" r:id="rId26" display="https://competition-cases.ec.europa.eu/cases/M.4241" xr:uid="{D9BF2703-D85D-42F8-859C-FA00EAEEE040}"/>
    <hyperlink ref="A28" r:id="rId27" display="https://competition-cases.ec.europa.eu/cases/M.4386" xr:uid="{FD20C6CD-CA8E-41C9-913E-71FFFCE835B4}"/>
    <hyperlink ref="A29" r:id="rId28" display="https://competition-cases.ec.europa.eu/cases/M.4551" xr:uid="{D8679769-87DD-4195-9A1A-D37E162CC222}"/>
    <hyperlink ref="A30" r:id="rId29" display="https://competition-cases.ec.europa.eu/cases/M.4403" xr:uid="{42B33D54-328B-44A6-A143-E3C31530461F}"/>
    <hyperlink ref="A31" r:id="rId30" display="https://competition-cases.ec.europa.eu/cases/M.4796" xr:uid="{53303523-462C-4CF3-A221-3EED2475CA68}"/>
    <hyperlink ref="A32" r:id="rId31" display="https://competition-cases.ec.europa.eu/cases/M.5060" xr:uid="{426EFB1A-68A7-4078-9FA1-E287F013FF94}"/>
    <hyperlink ref="A33" r:id="rId32" display="https://competition-cases.ec.europa.eu/cases/M.5151" xr:uid="{67BB6EF2-DDF5-44C6-BE5B-CA39D54C4D16}"/>
    <hyperlink ref="A34" r:id="rId33" display="https://competition-cases.ec.europa.eu/cases/M.5276" xr:uid="{9E71791A-57AD-416F-96F7-6F6869B0BECF}"/>
    <hyperlink ref="A35" r:id="rId34" display="https://competition-cases.ec.europa.eu/cases/M.5357" xr:uid="{61E521F5-8AD8-4202-A29A-04745F58A72E}"/>
    <hyperlink ref="A36" r:id="rId35" display="https://competition-cases.ec.europa.eu/cases/M.5168" xr:uid="{DC4902F2-57E2-4538-A1E9-8758AAD265D3}"/>
    <hyperlink ref="A37" r:id="rId36" display="https://competition-cases.ec.europa.eu/cases/M.5426" xr:uid="{6C26E9FA-99AA-4EDA-A4DF-E196D7A39902}"/>
    <hyperlink ref="A38" r:id="rId37" display="https://competition-cases.ec.europa.eu/cases/M.5667" xr:uid="{CA8B968D-C8B9-40D5-91BB-07A19228C555}"/>
    <hyperlink ref="A39" r:id="rId38" display="https://competition-cases.ec.europa.eu/cases/M.5668" xr:uid="{F5A8E929-1868-4A32-8C2F-D160F36CAE20}"/>
    <hyperlink ref="A40" r:id="rId39" display="https://competition-cases.ec.europa.eu/cases/M.6581" xr:uid="{15C562F4-F60E-4CA4-8F29-D112557B9352}"/>
    <hyperlink ref="A41" r:id="rId40" display="https://competition-cases.ec.europa.eu/cases/M.6844" xr:uid="{BF8B6D18-9497-4404-8AA2-35CF5883A1F4}"/>
    <hyperlink ref="A42" r:id="rId41" display="https://competition-cases.ec.europa.eu/cases/M.7144" xr:uid="{7E77C739-2B0E-4324-97D3-1B83E2425E74}"/>
    <hyperlink ref="A43" r:id="rId42" display="https://competition-cases.ec.europa.eu/cases/M.7353" xr:uid="{F9EB50E7-E32F-4C33-8800-D04BBCFA4F76}"/>
    <hyperlink ref="A44" r:id="rId43" display="https://competition-cases.ec.europa.eu/cases/M.7676" xr:uid="{F276C80B-8DFE-47AD-B760-2FD973A88FCF}"/>
    <hyperlink ref="A45" r:id="rId44" display="https://competition-cases.ec.europa.eu/cases/M.7724" xr:uid="{34AD5CB5-1B59-4782-BFE8-FFBA2E8F57E4}"/>
    <hyperlink ref="A46" r:id="rId45" display="https://competition-cases.ec.europa.eu/cases/M.8425" xr:uid="{CCB090F5-F91D-4F00-9EAF-8EE208DF3B00}"/>
    <hyperlink ref="A47" r:id="rId46" display="https://competition-cases.ec.europa.eu/cases/M.8688" xr:uid="{458C4E92-ED7C-48E6-812F-23253ED12B4D}"/>
    <hyperlink ref="A48" r:id="rId47" display="https://competition-cases.ec.europa.eu/cases/M.8814" xr:uid="{DC8A865C-A2B2-491E-A455-E997E3119E82}"/>
    <hyperlink ref="A49" r:id="rId48" display="https://competition-cases.ec.europa.eu/cases/M.8858" xr:uid="{7ACE68B2-FD86-4B99-95CE-B4706ECD90F7}"/>
    <hyperlink ref="A50" r:id="rId49" display="https://competition-cases.ec.europa.eu/cases/M.8658" xr:uid="{04857AEC-1A91-48B5-B5EE-A10C5F8F6325}"/>
    <hyperlink ref="A51" r:id="rId50" display="https://competition-cases.ec.europa.eu/cases/M.10506" xr:uid="{AB235EFC-6238-4E9E-8703-8B166EA96F2B}"/>
  </hyperlinks>
  <pageMargins left="0.7" right="0.7" top="0.75" bottom="0.75" header="0.3" footer="0.3"/>
  <pageSetup paperSize="9" orientation="portrait" r:id="rId5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24D1-4242-4E52-9456-2FB62F693BF8}">
  <dimension ref="A1:Q986"/>
  <sheetViews>
    <sheetView workbookViewId="0">
      <selection activeCell="H27" sqref="H27"/>
    </sheetView>
  </sheetViews>
  <sheetFormatPr defaultRowHeight="14.45"/>
  <cols>
    <col min="1" max="1" width="8.28515625" customWidth="1"/>
    <col min="2" max="2" width="14.140625" customWidth="1"/>
    <col min="3" max="3" width="13.42578125" customWidth="1"/>
    <col min="4" max="4" width="12.7109375" bestFit="1" customWidth="1"/>
    <col min="5" max="5" width="25.7109375" bestFit="1" customWidth="1"/>
    <col min="6" max="6" width="20.7109375" bestFit="1" customWidth="1"/>
    <col min="7" max="7" width="13.42578125" bestFit="1" customWidth="1"/>
    <col min="8" max="8" width="80.85546875" bestFit="1" customWidth="1"/>
    <col min="9" max="9" width="16.42578125" bestFit="1" customWidth="1"/>
    <col min="10" max="10" width="16.28515625" bestFit="1" customWidth="1"/>
    <col min="11" max="11" width="11.5703125" bestFit="1" customWidth="1"/>
    <col min="12" max="13" width="80.85546875" bestFit="1" customWidth="1"/>
    <col min="14" max="14" width="20.5703125" bestFit="1" customWidth="1"/>
    <col min="15" max="15" width="15.5703125" bestFit="1" customWidth="1"/>
    <col min="16" max="16" width="22.28515625" bestFit="1" customWidth="1"/>
    <col min="17" max="17" width="27" bestFit="1" customWidth="1"/>
  </cols>
  <sheetData>
    <row r="1" spans="1:17">
      <c r="A1" t="s">
        <v>921</v>
      </c>
      <c r="B1" t="s">
        <v>922</v>
      </c>
      <c r="C1" t="s">
        <v>923</v>
      </c>
      <c r="D1" t="s">
        <v>924</v>
      </c>
      <c r="E1" t="s">
        <v>925</v>
      </c>
      <c r="F1" t="s">
        <v>926</v>
      </c>
      <c r="G1" t="s">
        <v>927</v>
      </c>
      <c r="H1" t="s">
        <v>928</v>
      </c>
      <c r="I1" t="s">
        <v>929</v>
      </c>
      <c r="J1" t="s">
        <v>930</v>
      </c>
      <c r="K1" t="s">
        <v>931</v>
      </c>
      <c r="L1" t="s">
        <v>932</v>
      </c>
      <c r="M1" t="s">
        <v>933</v>
      </c>
      <c r="N1" t="s">
        <v>934</v>
      </c>
      <c r="O1" t="s">
        <v>935</v>
      </c>
      <c r="P1" t="s">
        <v>936</v>
      </c>
      <c r="Q1" t="s">
        <v>937</v>
      </c>
    </row>
    <row r="2" spans="1:17">
      <c r="A2" t="s">
        <v>938</v>
      </c>
      <c r="B2" s="26">
        <v>42345</v>
      </c>
      <c r="C2" s="26">
        <v>42345</v>
      </c>
      <c r="D2" t="s">
        <v>939</v>
      </c>
      <c r="E2" s="26">
        <v>42346</v>
      </c>
      <c r="G2">
        <v>2015</v>
      </c>
      <c r="H2" t="s">
        <v>940</v>
      </c>
      <c r="I2" t="s">
        <v>75</v>
      </c>
      <c r="J2" t="s">
        <v>75</v>
      </c>
      <c r="K2" t="s">
        <v>941</v>
      </c>
      <c r="L2" t="s">
        <v>942</v>
      </c>
      <c r="M2" t="s">
        <v>943</v>
      </c>
      <c r="N2" t="s">
        <v>944</v>
      </c>
      <c r="O2" t="s">
        <v>941</v>
      </c>
    </row>
    <row r="3" spans="1:17">
      <c r="A3" t="s">
        <v>945</v>
      </c>
      <c r="B3" s="26">
        <v>43447</v>
      </c>
      <c r="C3" s="26">
        <v>43447</v>
      </c>
      <c r="D3" t="s">
        <v>939</v>
      </c>
      <c r="E3" s="26">
        <v>43447</v>
      </c>
      <c r="G3">
        <v>2018</v>
      </c>
      <c r="H3" t="s">
        <v>946</v>
      </c>
      <c r="I3" t="s">
        <v>75</v>
      </c>
      <c r="J3" t="s">
        <v>75</v>
      </c>
      <c r="K3" t="s">
        <v>947</v>
      </c>
      <c r="L3" t="s">
        <v>948</v>
      </c>
      <c r="M3" t="s">
        <v>943</v>
      </c>
      <c r="N3" t="s">
        <v>944</v>
      </c>
      <c r="O3" t="s">
        <v>947</v>
      </c>
    </row>
    <row r="4" spans="1:17">
      <c r="A4" t="s">
        <v>949</v>
      </c>
      <c r="B4" s="26">
        <v>41586</v>
      </c>
      <c r="C4" s="26">
        <v>41586</v>
      </c>
      <c r="D4" t="s">
        <v>939</v>
      </c>
      <c r="E4" s="26">
        <v>41589</v>
      </c>
      <c r="G4">
        <v>2013</v>
      </c>
      <c r="H4" t="s">
        <v>950</v>
      </c>
      <c r="I4" t="s">
        <v>75</v>
      </c>
      <c r="J4" t="s">
        <v>75</v>
      </c>
      <c r="K4">
        <v>800</v>
      </c>
      <c r="L4" t="s">
        <v>948</v>
      </c>
      <c r="M4" t="s">
        <v>943</v>
      </c>
      <c r="N4" t="s">
        <v>944</v>
      </c>
      <c r="O4">
        <v>800</v>
      </c>
    </row>
    <row r="5" spans="1:17">
      <c r="A5" t="s">
        <v>951</v>
      </c>
      <c r="B5" s="26">
        <v>42549</v>
      </c>
      <c r="C5" s="26">
        <v>42549</v>
      </c>
      <c r="D5" t="s">
        <v>939</v>
      </c>
      <c r="E5" s="26">
        <v>42550</v>
      </c>
      <c r="G5">
        <v>2016</v>
      </c>
      <c r="H5" t="s">
        <v>952</v>
      </c>
      <c r="I5" t="s">
        <v>75</v>
      </c>
      <c r="J5" t="s">
        <v>75</v>
      </c>
      <c r="K5" t="s">
        <v>953</v>
      </c>
      <c r="L5" t="s">
        <v>942</v>
      </c>
      <c r="M5" t="s">
        <v>943</v>
      </c>
      <c r="N5" t="s">
        <v>944</v>
      </c>
    </row>
    <row r="6" spans="1:17">
      <c r="A6" t="s">
        <v>954</v>
      </c>
      <c r="B6" s="26">
        <v>41787</v>
      </c>
      <c r="C6" s="26">
        <v>41787</v>
      </c>
      <c r="D6" t="s">
        <v>939</v>
      </c>
      <c r="E6" s="26">
        <v>41788</v>
      </c>
      <c r="G6">
        <v>2014</v>
      </c>
      <c r="H6" t="s">
        <v>955</v>
      </c>
      <c r="I6" t="s">
        <v>75</v>
      </c>
      <c r="J6" t="s">
        <v>75</v>
      </c>
      <c r="K6" t="s">
        <v>953</v>
      </c>
      <c r="L6" t="s">
        <v>942</v>
      </c>
      <c r="M6" t="s">
        <v>943</v>
      </c>
      <c r="N6" t="s">
        <v>944</v>
      </c>
    </row>
    <row r="7" spans="1:17">
      <c r="A7" t="s">
        <v>956</v>
      </c>
      <c r="B7" s="26">
        <v>42549</v>
      </c>
      <c r="C7" s="26">
        <v>42549</v>
      </c>
      <c r="D7" t="s">
        <v>939</v>
      </c>
      <c r="E7" s="26">
        <v>42550</v>
      </c>
      <c r="G7">
        <v>2016</v>
      </c>
      <c r="H7" t="s">
        <v>957</v>
      </c>
      <c r="I7" t="s">
        <v>75</v>
      </c>
      <c r="J7" t="s">
        <v>75</v>
      </c>
      <c r="K7" t="s">
        <v>958</v>
      </c>
      <c r="L7" t="s">
        <v>942</v>
      </c>
      <c r="M7" t="s">
        <v>943</v>
      </c>
      <c r="N7" t="s">
        <v>944</v>
      </c>
      <c r="O7" t="s">
        <v>958</v>
      </c>
    </row>
    <row r="8" spans="1:17">
      <c r="A8" t="s">
        <v>959</v>
      </c>
      <c r="B8" s="26">
        <v>42639</v>
      </c>
      <c r="C8" s="26">
        <v>42639</v>
      </c>
      <c r="D8" t="s">
        <v>939</v>
      </c>
      <c r="E8" s="26">
        <v>42639</v>
      </c>
      <c r="G8">
        <v>2016</v>
      </c>
      <c r="H8" t="s">
        <v>960</v>
      </c>
      <c r="I8" t="s">
        <v>75</v>
      </c>
      <c r="J8" t="s">
        <v>75</v>
      </c>
      <c r="K8">
        <v>343665</v>
      </c>
      <c r="L8" t="s">
        <v>961</v>
      </c>
      <c r="M8" t="s">
        <v>962</v>
      </c>
      <c r="N8" t="s">
        <v>963</v>
      </c>
      <c r="O8">
        <v>343665</v>
      </c>
    </row>
    <row r="9" spans="1:17">
      <c r="A9" t="s">
        <v>964</v>
      </c>
      <c r="B9" s="26">
        <v>43746</v>
      </c>
      <c r="C9" s="26">
        <v>43746</v>
      </c>
      <c r="D9" t="s">
        <v>939</v>
      </c>
      <c r="E9" s="26">
        <v>43747</v>
      </c>
      <c r="G9">
        <v>2019</v>
      </c>
      <c r="H9" t="s">
        <v>965</v>
      </c>
      <c r="I9" t="s">
        <v>75</v>
      </c>
      <c r="J9" t="s">
        <v>75</v>
      </c>
      <c r="K9" t="s">
        <v>966</v>
      </c>
      <c r="L9" t="s">
        <v>967</v>
      </c>
      <c r="M9" t="s">
        <v>968</v>
      </c>
      <c r="O9" t="s">
        <v>966</v>
      </c>
    </row>
    <row r="10" spans="1:17">
      <c r="A10" t="s">
        <v>969</v>
      </c>
      <c r="B10" s="26">
        <v>41787</v>
      </c>
      <c r="C10" s="26">
        <v>41787</v>
      </c>
      <c r="D10" t="s">
        <v>939</v>
      </c>
      <c r="E10" s="26">
        <v>41788</v>
      </c>
      <c r="G10">
        <v>2014</v>
      </c>
      <c r="H10" t="s">
        <v>970</v>
      </c>
      <c r="I10" t="s">
        <v>75</v>
      </c>
      <c r="J10" t="s">
        <v>75</v>
      </c>
      <c r="K10" t="s">
        <v>971</v>
      </c>
      <c r="L10" t="s">
        <v>942</v>
      </c>
      <c r="M10" t="s">
        <v>943</v>
      </c>
      <c r="N10" t="s">
        <v>944</v>
      </c>
      <c r="O10" t="s">
        <v>971</v>
      </c>
    </row>
    <row r="11" spans="1:17">
      <c r="A11" t="s">
        <v>972</v>
      </c>
      <c r="B11" s="26">
        <v>42345</v>
      </c>
      <c r="C11" s="26">
        <v>42345</v>
      </c>
      <c r="D11" t="s">
        <v>939</v>
      </c>
      <c r="E11" s="26">
        <v>42346</v>
      </c>
      <c r="G11">
        <v>2015</v>
      </c>
      <c r="H11" t="s">
        <v>973</v>
      </c>
      <c r="I11" t="s">
        <v>75</v>
      </c>
      <c r="J11" t="s">
        <v>75</v>
      </c>
      <c r="K11" t="s">
        <v>974</v>
      </c>
      <c r="L11" t="s">
        <v>942</v>
      </c>
      <c r="M11" t="s">
        <v>943</v>
      </c>
      <c r="N11" t="s">
        <v>944</v>
      </c>
      <c r="O11" t="s">
        <v>974</v>
      </c>
    </row>
    <row r="12" spans="1:17">
      <c r="A12" t="s">
        <v>975</v>
      </c>
      <c r="B12" s="26">
        <v>42550</v>
      </c>
      <c r="C12" s="26">
        <v>42550</v>
      </c>
      <c r="D12" t="s">
        <v>939</v>
      </c>
      <c r="E12" s="26">
        <v>42550</v>
      </c>
      <c r="G12">
        <v>2016</v>
      </c>
      <c r="H12" t="s">
        <v>976</v>
      </c>
      <c r="I12" t="s">
        <v>75</v>
      </c>
      <c r="J12" t="s">
        <v>75</v>
      </c>
      <c r="K12" t="s">
        <v>953</v>
      </c>
      <c r="L12" t="s">
        <v>942</v>
      </c>
      <c r="M12" t="s">
        <v>943</v>
      </c>
      <c r="N12" t="s">
        <v>944</v>
      </c>
    </row>
    <row r="13" spans="1:17">
      <c r="A13" t="s">
        <v>977</v>
      </c>
      <c r="B13" s="26">
        <v>41586</v>
      </c>
      <c r="C13" s="26">
        <v>41586</v>
      </c>
      <c r="D13" t="s">
        <v>939</v>
      </c>
      <c r="E13" s="26">
        <v>41586</v>
      </c>
      <c r="G13">
        <v>2013</v>
      </c>
      <c r="H13" t="s">
        <v>978</v>
      </c>
      <c r="I13" t="s">
        <v>75</v>
      </c>
      <c r="J13" t="s">
        <v>75</v>
      </c>
      <c r="K13" t="s">
        <v>979</v>
      </c>
      <c r="L13" t="s">
        <v>948</v>
      </c>
      <c r="M13" t="s">
        <v>943</v>
      </c>
      <c r="N13" t="s">
        <v>944</v>
      </c>
      <c r="O13" t="s">
        <v>979</v>
      </c>
    </row>
    <row r="14" spans="1:17">
      <c r="A14" t="s">
        <v>980</v>
      </c>
      <c r="B14" s="26">
        <v>44118</v>
      </c>
      <c r="C14" s="26">
        <v>44118</v>
      </c>
      <c r="D14" t="s">
        <v>939</v>
      </c>
      <c r="E14" s="26">
        <v>44118</v>
      </c>
      <c r="G14">
        <v>2020</v>
      </c>
      <c r="H14" t="s">
        <v>981</v>
      </c>
      <c r="I14" t="s">
        <v>75</v>
      </c>
      <c r="J14" t="s">
        <v>75</v>
      </c>
      <c r="K14" t="s">
        <v>982</v>
      </c>
      <c r="L14" t="s">
        <v>967</v>
      </c>
      <c r="M14" t="s">
        <v>968</v>
      </c>
      <c r="O14" t="s">
        <v>982</v>
      </c>
    </row>
    <row r="15" spans="1:17">
      <c r="A15" t="s">
        <v>983</v>
      </c>
      <c r="B15" s="26">
        <v>42453</v>
      </c>
      <c r="C15" s="26">
        <v>42453</v>
      </c>
      <c r="D15" t="s">
        <v>939</v>
      </c>
      <c r="E15" s="26">
        <v>42453</v>
      </c>
      <c r="G15">
        <v>2016</v>
      </c>
      <c r="H15" t="s">
        <v>984</v>
      </c>
      <c r="I15" t="s">
        <v>75</v>
      </c>
      <c r="J15" t="s">
        <v>75</v>
      </c>
      <c r="K15" t="s">
        <v>985</v>
      </c>
      <c r="L15" t="s">
        <v>942</v>
      </c>
      <c r="M15" t="s">
        <v>968</v>
      </c>
      <c r="O15" t="s">
        <v>985</v>
      </c>
    </row>
    <row r="16" spans="1:17">
      <c r="A16" t="s">
        <v>986</v>
      </c>
      <c r="B16" s="26">
        <v>42549</v>
      </c>
      <c r="C16" s="26">
        <v>42549</v>
      </c>
      <c r="D16" t="s">
        <v>939</v>
      </c>
      <c r="E16" s="26">
        <v>42550</v>
      </c>
      <c r="G16">
        <v>2016</v>
      </c>
      <c r="H16" t="s">
        <v>987</v>
      </c>
      <c r="I16" t="s">
        <v>75</v>
      </c>
      <c r="J16" t="s">
        <v>75</v>
      </c>
      <c r="K16" t="s">
        <v>988</v>
      </c>
      <c r="L16" t="s">
        <v>942</v>
      </c>
      <c r="M16" t="s">
        <v>943</v>
      </c>
      <c r="N16" t="s">
        <v>944</v>
      </c>
      <c r="O16" t="s">
        <v>988</v>
      </c>
    </row>
    <row r="17" spans="1:15">
      <c r="A17" t="s">
        <v>989</v>
      </c>
      <c r="B17" s="26">
        <v>42345</v>
      </c>
      <c r="C17" s="26">
        <v>42345</v>
      </c>
      <c r="D17" t="s">
        <v>939</v>
      </c>
      <c r="E17" s="26">
        <v>42346</v>
      </c>
      <c r="G17">
        <v>2015</v>
      </c>
      <c r="H17" t="s">
        <v>990</v>
      </c>
      <c r="I17" t="s">
        <v>75</v>
      </c>
      <c r="J17" t="s">
        <v>75</v>
      </c>
      <c r="K17" t="s">
        <v>991</v>
      </c>
      <c r="L17" t="s">
        <v>942</v>
      </c>
      <c r="M17" t="s">
        <v>943</v>
      </c>
      <c r="N17" t="s">
        <v>944</v>
      </c>
      <c r="O17" t="s">
        <v>991</v>
      </c>
    </row>
    <row r="18" spans="1:15">
      <c r="A18" t="s">
        <v>992</v>
      </c>
      <c r="B18" s="26">
        <v>42345</v>
      </c>
      <c r="C18" s="26">
        <v>42345</v>
      </c>
      <c r="D18" t="s">
        <v>939</v>
      </c>
      <c r="E18" s="26">
        <v>42346</v>
      </c>
      <c r="G18">
        <v>2015</v>
      </c>
      <c r="H18" t="s">
        <v>993</v>
      </c>
      <c r="I18" t="s">
        <v>75</v>
      </c>
      <c r="J18" t="s">
        <v>75</v>
      </c>
      <c r="K18" t="s">
        <v>994</v>
      </c>
      <c r="L18" t="s">
        <v>942</v>
      </c>
      <c r="M18" t="s">
        <v>943</v>
      </c>
      <c r="N18" t="s">
        <v>944</v>
      </c>
      <c r="O18" t="s">
        <v>994</v>
      </c>
    </row>
    <row r="19" spans="1:15">
      <c r="A19" t="s">
        <v>995</v>
      </c>
      <c r="B19" s="26">
        <v>43026</v>
      </c>
      <c r="C19" s="26">
        <v>43026</v>
      </c>
      <c r="D19" t="s">
        <v>939</v>
      </c>
      <c r="E19" s="26">
        <v>43026</v>
      </c>
      <c r="G19">
        <v>2017</v>
      </c>
      <c r="H19" t="s">
        <v>996</v>
      </c>
      <c r="I19" t="s">
        <v>75</v>
      </c>
      <c r="J19" t="s">
        <v>75</v>
      </c>
      <c r="K19" t="s">
        <v>997</v>
      </c>
      <c r="L19" t="s">
        <v>942</v>
      </c>
      <c r="M19" t="s">
        <v>968</v>
      </c>
      <c r="O19" t="s">
        <v>997</v>
      </c>
    </row>
    <row r="20" spans="1:15">
      <c r="A20" t="s">
        <v>998</v>
      </c>
      <c r="B20" s="26">
        <v>43447</v>
      </c>
      <c r="C20" s="26">
        <v>43447</v>
      </c>
      <c r="D20" t="s">
        <v>939</v>
      </c>
      <c r="E20" s="26">
        <v>43447</v>
      </c>
      <c r="G20">
        <v>2018</v>
      </c>
      <c r="H20" t="s">
        <v>999</v>
      </c>
      <c r="I20" t="s">
        <v>75</v>
      </c>
      <c r="J20" t="s">
        <v>75</v>
      </c>
      <c r="K20" t="s">
        <v>1000</v>
      </c>
      <c r="L20" t="s">
        <v>948</v>
      </c>
      <c r="M20" t="s">
        <v>943</v>
      </c>
      <c r="N20" t="s">
        <v>944</v>
      </c>
      <c r="O20" t="s">
        <v>1000</v>
      </c>
    </row>
    <row r="21" spans="1:15">
      <c r="A21" t="s">
        <v>1001</v>
      </c>
      <c r="B21" s="26">
        <v>42143</v>
      </c>
      <c r="C21" s="26">
        <v>42143</v>
      </c>
      <c r="D21" t="s">
        <v>939</v>
      </c>
      <c r="E21" s="26">
        <v>42143</v>
      </c>
      <c r="G21">
        <v>2015</v>
      </c>
      <c r="H21" t="s">
        <v>1002</v>
      </c>
      <c r="I21" t="s">
        <v>75</v>
      </c>
      <c r="J21" t="s">
        <v>75</v>
      </c>
      <c r="K21" t="s">
        <v>953</v>
      </c>
      <c r="L21" t="s">
        <v>942</v>
      </c>
      <c r="M21" t="s">
        <v>968</v>
      </c>
    </row>
    <row r="22" spans="1:15">
      <c r="A22" t="s">
        <v>1003</v>
      </c>
      <c r="B22" s="26">
        <v>43852</v>
      </c>
      <c r="C22" s="26">
        <v>43852</v>
      </c>
      <c r="D22" t="s">
        <v>939</v>
      </c>
      <c r="E22" s="26">
        <v>43857</v>
      </c>
      <c r="G22">
        <v>2020</v>
      </c>
      <c r="H22" t="s">
        <v>1004</v>
      </c>
      <c r="I22" t="s">
        <v>75</v>
      </c>
      <c r="J22" t="s">
        <v>75</v>
      </c>
      <c r="K22">
        <v>9376</v>
      </c>
      <c r="L22" t="s">
        <v>967</v>
      </c>
      <c r="M22" t="s">
        <v>1005</v>
      </c>
      <c r="N22" t="s">
        <v>963</v>
      </c>
      <c r="O22">
        <v>9376</v>
      </c>
    </row>
    <row r="23" spans="1:15">
      <c r="A23" t="s">
        <v>1006</v>
      </c>
      <c r="B23" s="26">
        <v>42549</v>
      </c>
      <c r="C23" s="26">
        <v>42549</v>
      </c>
      <c r="D23" t="s">
        <v>939</v>
      </c>
      <c r="E23" s="26">
        <v>42550</v>
      </c>
      <c r="G23">
        <v>2016</v>
      </c>
      <c r="H23" t="s">
        <v>1007</v>
      </c>
      <c r="I23" t="s">
        <v>75</v>
      </c>
      <c r="J23" t="s">
        <v>75</v>
      </c>
      <c r="K23" t="s">
        <v>1008</v>
      </c>
      <c r="L23" t="s">
        <v>942</v>
      </c>
      <c r="M23" t="s">
        <v>943</v>
      </c>
      <c r="N23" t="s">
        <v>944</v>
      </c>
      <c r="O23" t="s">
        <v>1008</v>
      </c>
    </row>
    <row r="24" spans="1:15">
      <c r="A24" t="s">
        <v>1009</v>
      </c>
      <c r="B24" s="26">
        <v>42345</v>
      </c>
      <c r="C24" s="26">
        <v>42345</v>
      </c>
      <c r="D24" t="s">
        <v>939</v>
      </c>
      <c r="E24" s="26">
        <v>42346</v>
      </c>
      <c r="G24">
        <v>2015</v>
      </c>
      <c r="H24" t="s">
        <v>1010</v>
      </c>
      <c r="I24" t="s">
        <v>75</v>
      </c>
      <c r="J24" t="s">
        <v>75</v>
      </c>
      <c r="K24" t="s">
        <v>1011</v>
      </c>
      <c r="L24" t="s">
        <v>942</v>
      </c>
      <c r="M24" t="s">
        <v>943</v>
      </c>
      <c r="N24" t="s">
        <v>944</v>
      </c>
      <c r="O24" t="s">
        <v>1011</v>
      </c>
    </row>
    <row r="25" spans="1:15">
      <c r="A25" t="s">
        <v>1012</v>
      </c>
      <c r="B25" s="26">
        <v>42549</v>
      </c>
      <c r="C25" s="26">
        <v>42549</v>
      </c>
      <c r="D25" t="s">
        <v>939</v>
      </c>
      <c r="E25" s="26">
        <v>42550</v>
      </c>
      <c r="G25">
        <v>2016</v>
      </c>
      <c r="H25" t="s">
        <v>1013</v>
      </c>
      <c r="I25" t="s">
        <v>75</v>
      </c>
      <c r="J25" t="s">
        <v>75</v>
      </c>
      <c r="K25" t="s">
        <v>1014</v>
      </c>
      <c r="L25" t="s">
        <v>942</v>
      </c>
      <c r="M25" t="s">
        <v>943</v>
      </c>
      <c r="N25" t="s">
        <v>944</v>
      </c>
      <c r="O25" t="s">
        <v>1014</v>
      </c>
    </row>
    <row r="26" spans="1:15">
      <c r="A26" t="s">
        <v>1015</v>
      </c>
      <c r="B26" s="26">
        <v>41787</v>
      </c>
      <c r="C26" s="26">
        <v>41787</v>
      </c>
      <c r="D26" t="s">
        <v>939</v>
      </c>
      <c r="E26" s="26">
        <v>41788</v>
      </c>
      <c r="G26">
        <v>2014</v>
      </c>
      <c r="H26" t="s">
        <v>1016</v>
      </c>
      <c r="I26" t="s">
        <v>75</v>
      </c>
      <c r="J26" t="s">
        <v>75</v>
      </c>
      <c r="K26" t="s">
        <v>953</v>
      </c>
      <c r="L26" t="s">
        <v>942</v>
      </c>
      <c r="M26" t="s">
        <v>943</v>
      </c>
      <c r="N26" t="s">
        <v>944</v>
      </c>
    </row>
    <row r="27" spans="1:15">
      <c r="A27" t="s">
        <v>1017</v>
      </c>
      <c r="B27" s="26">
        <v>42550</v>
      </c>
      <c r="C27" s="26">
        <v>42550</v>
      </c>
      <c r="D27" t="s">
        <v>939</v>
      </c>
      <c r="E27" s="26">
        <v>42550</v>
      </c>
      <c r="G27">
        <v>2016</v>
      </c>
      <c r="H27" t="s">
        <v>1018</v>
      </c>
      <c r="I27" t="s">
        <v>75</v>
      </c>
      <c r="J27" t="s">
        <v>75</v>
      </c>
      <c r="K27" t="s">
        <v>953</v>
      </c>
      <c r="L27" t="s">
        <v>942</v>
      </c>
      <c r="M27" t="s">
        <v>943</v>
      </c>
      <c r="N27" t="s">
        <v>944</v>
      </c>
    </row>
    <row r="28" spans="1:15">
      <c r="A28" t="s">
        <v>1019</v>
      </c>
      <c r="B28" s="26">
        <v>42550</v>
      </c>
      <c r="C28" s="26">
        <v>42550</v>
      </c>
      <c r="D28" t="s">
        <v>939</v>
      </c>
      <c r="E28" s="26">
        <v>42550</v>
      </c>
      <c r="G28">
        <v>2016</v>
      </c>
      <c r="H28" t="s">
        <v>1020</v>
      </c>
      <c r="I28" t="s">
        <v>75</v>
      </c>
      <c r="J28" t="s">
        <v>75</v>
      </c>
      <c r="K28" t="s">
        <v>953</v>
      </c>
      <c r="L28" t="s">
        <v>942</v>
      </c>
      <c r="M28" t="s">
        <v>943</v>
      </c>
      <c r="N28" t="s">
        <v>944</v>
      </c>
    </row>
    <row r="29" spans="1:15">
      <c r="A29" t="s">
        <v>1021</v>
      </c>
      <c r="B29" s="26">
        <v>42453</v>
      </c>
      <c r="C29" s="26">
        <v>42453</v>
      </c>
      <c r="D29" t="s">
        <v>939</v>
      </c>
      <c r="E29" s="26">
        <v>42453</v>
      </c>
      <c r="G29">
        <v>2016</v>
      </c>
      <c r="H29" t="s">
        <v>1022</v>
      </c>
      <c r="I29" t="s">
        <v>75</v>
      </c>
      <c r="J29" t="s">
        <v>75</v>
      </c>
      <c r="K29" t="s">
        <v>953</v>
      </c>
      <c r="L29" t="s">
        <v>942</v>
      </c>
      <c r="M29" t="s">
        <v>968</v>
      </c>
    </row>
    <row r="30" spans="1:15">
      <c r="A30" t="s">
        <v>1023</v>
      </c>
      <c r="B30" s="26">
        <v>43614</v>
      </c>
      <c r="C30" s="26">
        <v>43614</v>
      </c>
      <c r="D30" t="s">
        <v>939</v>
      </c>
      <c r="E30" s="26">
        <v>43614</v>
      </c>
      <c r="G30">
        <v>2019</v>
      </c>
      <c r="H30" t="s">
        <v>1024</v>
      </c>
      <c r="I30" t="s">
        <v>75</v>
      </c>
      <c r="J30" t="s">
        <v>75</v>
      </c>
      <c r="K30">
        <v>1238905</v>
      </c>
      <c r="L30" t="s">
        <v>967</v>
      </c>
      <c r="M30" t="s">
        <v>968</v>
      </c>
      <c r="O30">
        <v>1238905</v>
      </c>
    </row>
    <row r="31" spans="1:15">
      <c r="A31" t="s">
        <v>1025</v>
      </c>
      <c r="B31" s="26">
        <v>42613</v>
      </c>
      <c r="C31" s="26">
        <v>42613</v>
      </c>
      <c r="D31" t="s">
        <v>939</v>
      </c>
      <c r="E31" s="26">
        <v>42613</v>
      </c>
      <c r="G31">
        <v>2016</v>
      </c>
      <c r="H31" t="s">
        <v>1026</v>
      </c>
      <c r="I31" t="s">
        <v>75</v>
      </c>
      <c r="J31" t="s">
        <v>75</v>
      </c>
      <c r="K31">
        <v>131336</v>
      </c>
      <c r="L31" t="s">
        <v>942</v>
      </c>
      <c r="M31" t="s">
        <v>968</v>
      </c>
      <c r="O31">
        <v>131336</v>
      </c>
    </row>
    <row r="32" spans="1:15">
      <c r="A32" t="s">
        <v>1027</v>
      </c>
      <c r="B32" s="26">
        <v>42639</v>
      </c>
      <c r="C32" s="26">
        <v>42639</v>
      </c>
      <c r="D32" t="s">
        <v>939</v>
      </c>
      <c r="E32" s="26">
        <v>42639</v>
      </c>
      <c r="G32">
        <v>2016</v>
      </c>
      <c r="H32" t="s">
        <v>1028</v>
      </c>
      <c r="I32" t="s">
        <v>75</v>
      </c>
      <c r="J32" t="s">
        <v>75</v>
      </c>
      <c r="K32">
        <v>-24653</v>
      </c>
      <c r="L32" t="s">
        <v>961</v>
      </c>
      <c r="M32" t="s">
        <v>962</v>
      </c>
      <c r="N32" t="s">
        <v>963</v>
      </c>
      <c r="O32" t="s">
        <v>1029</v>
      </c>
    </row>
    <row r="33" spans="1:15">
      <c r="A33" t="s">
        <v>1030</v>
      </c>
      <c r="B33" s="26">
        <v>43788</v>
      </c>
      <c r="C33" s="26">
        <v>43788</v>
      </c>
      <c r="D33" t="s">
        <v>939</v>
      </c>
      <c r="E33" s="26">
        <v>43788</v>
      </c>
      <c r="G33">
        <v>2019</v>
      </c>
      <c r="H33" t="s">
        <v>1031</v>
      </c>
      <c r="I33" t="s">
        <v>75</v>
      </c>
      <c r="J33" t="s">
        <v>75</v>
      </c>
      <c r="K33">
        <v>-7090</v>
      </c>
      <c r="L33" t="s">
        <v>967</v>
      </c>
      <c r="M33" t="s">
        <v>968</v>
      </c>
      <c r="O33" t="s">
        <v>1032</v>
      </c>
    </row>
    <row r="34" spans="1:15">
      <c r="A34" t="s">
        <v>1033</v>
      </c>
      <c r="B34" s="26">
        <v>43773</v>
      </c>
      <c r="C34" s="26">
        <v>43773</v>
      </c>
      <c r="D34" t="s">
        <v>939</v>
      </c>
      <c r="E34" s="26">
        <v>43773</v>
      </c>
      <c r="G34">
        <v>2019</v>
      </c>
      <c r="H34" t="s">
        <v>1034</v>
      </c>
      <c r="I34" t="s">
        <v>75</v>
      </c>
      <c r="J34" t="s">
        <v>75</v>
      </c>
      <c r="K34" t="s">
        <v>1035</v>
      </c>
      <c r="L34" t="s">
        <v>967</v>
      </c>
      <c r="M34" t="s">
        <v>1036</v>
      </c>
      <c r="N34" t="s">
        <v>963</v>
      </c>
      <c r="O34" t="s">
        <v>1035</v>
      </c>
    </row>
    <row r="35" spans="1:15">
      <c r="A35" t="s">
        <v>1037</v>
      </c>
      <c r="B35" s="26">
        <v>42549</v>
      </c>
      <c r="C35" s="26">
        <v>42549</v>
      </c>
      <c r="D35" t="s">
        <v>939</v>
      </c>
      <c r="E35" s="26">
        <v>42550</v>
      </c>
      <c r="G35">
        <v>2016</v>
      </c>
      <c r="H35" t="s">
        <v>1038</v>
      </c>
      <c r="I35" t="s">
        <v>75</v>
      </c>
      <c r="J35" t="s">
        <v>75</v>
      </c>
      <c r="K35" t="s">
        <v>1039</v>
      </c>
      <c r="L35" t="s">
        <v>942</v>
      </c>
      <c r="M35" t="s">
        <v>943</v>
      </c>
      <c r="N35" t="s">
        <v>944</v>
      </c>
      <c r="O35" t="s">
        <v>1039</v>
      </c>
    </row>
    <row r="36" spans="1:15">
      <c r="A36" t="s">
        <v>1040</v>
      </c>
      <c r="B36" s="26">
        <v>41254</v>
      </c>
      <c r="C36" s="26">
        <v>41254</v>
      </c>
      <c r="D36" t="s">
        <v>939</v>
      </c>
      <c r="E36" s="26">
        <v>41255</v>
      </c>
      <c r="G36">
        <v>2012</v>
      </c>
      <c r="H36" t="s">
        <v>1041</v>
      </c>
      <c r="I36" t="s">
        <v>75</v>
      </c>
      <c r="J36" t="s">
        <v>75</v>
      </c>
      <c r="K36" t="s">
        <v>1042</v>
      </c>
      <c r="L36" t="s">
        <v>961</v>
      </c>
      <c r="M36" t="s">
        <v>962</v>
      </c>
      <c r="N36" t="s">
        <v>963</v>
      </c>
      <c r="O36" t="s">
        <v>1042</v>
      </c>
    </row>
    <row r="37" spans="1:15">
      <c r="A37" t="s">
        <v>1043</v>
      </c>
      <c r="B37" s="26">
        <v>42345</v>
      </c>
      <c r="C37" s="26">
        <v>42345</v>
      </c>
      <c r="D37" t="s">
        <v>939</v>
      </c>
      <c r="E37" s="26">
        <v>42346</v>
      </c>
      <c r="G37">
        <v>2015</v>
      </c>
      <c r="H37" t="s">
        <v>1044</v>
      </c>
      <c r="I37" t="s">
        <v>75</v>
      </c>
      <c r="J37" t="s">
        <v>75</v>
      </c>
      <c r="K37" t="s">
        <v>1045</v>
      </c>
      <c r="L37" t="s">
        <v>942</v>
      </c>
      <c r="M37" t="s">
        <v>943</v>
      </c>
      <c r="N37" t="s">
        <v>944</v>
      </c>
      <c r="O37" t="s">
        <v>1045</v>
      </c>
    </row>
    <row r="38" spans="1:15">
      <c r="A38" t="s">
        <v>1046</v>
      </c>
      <c r="B38" s="26">
        <v>42345</v>
      </c>
      <c r="C38" s="26">
        <v>42345</v>
      </c>
      <c r="D38" t="s">
        <v>939</v>
      </c>
      <c r="E38" s="26">
        <v>42346</v>
      </c>
      <c r="G38">
        <v>2015</v>
      </c>
      <c r="H38" t="s">
        <v>1047</v>
      </c>
      <c r="I38" t="s">
        <v>75</v>
      </c>
      <c r="J38" t="s">
        <v>75</v>
      </c>
      <c r="K38" t="s">
        <v>953</v>
      </c>
      <c r="L38" t="s">
        <v>942</v>
      </c>
      <c r="M38" t="s">
        <v>943</v>
      </c>
      <c r="N38" t="s">
        <v>944</v>
      </c>
    </row>
    <row r="39" spans="1:15">
      <c r="A39" t="s">
        <v>1048</v>
      </c>
      <c r="B39" s="26">
        <v>43893</v>
      </c>
      <c r="C39" s="26">
        <v>43893</v>
      </c>
      <c r="D39" t="s">
        <v>939</v>
      </c>
      <c r="E39" s="26">
        <v>43894</v>
      </c>
      <c r="G39">
        <v>2020</v>
      </c>
      <c r="H39" t="s">
        <v>1049</v>
      </c>
      <c r="I39" t="s">
        <v>75</v>
      </c>
      <c r="J39" t="s">
        <v>75</v>
      </c>
      <c r="K39" t="s">
        <v>1050</v>
      </c>
      <c r="L39" t="s">
        <v>967</v>
      </c>
      <c r="M39" t="s">
        <v>968</v>
      </c>
      <c r="O39" t="s">
        <v>1050</v>
      </c>
    </row>
    <row r="40" spans="1:15">
      <c r="A40" t="s">
        <v>1051</v>
      </c>
      <c r="B40" s="26">
        <v>42345</v>
      </c>
      <c r="C40" s="26">
        <v>42345</v>
      </c>
      <c r="D40" t="s">
        <v>939</v>
      </c>
      <c r="E40" s="26">
        <v>42346</v>
      </c>
      <c r="G40">
        <v>2015</v>
      </c>
      <c r="H40" t="s">
        <v>1052</v>
      </c>
      <c r="I40" t="s">
        <v>75</v>
      </c>
      <c r="J40" t="s">
        <v>75</v>
      </c>
      <c r="K40" t="s">
        <v>953</v>
      </c>
      <c r="L40" t="s">
        <v>942</v>
      </c>
      <c r="M40" t="s">
        <v>943</v>
      </c>
      <c r="N40" t="s">
        <v>944</v>
      </c>
    </row>
    <row r="41" spans="1:15">
      <c r="A41" t="s">
        <v>1053</v>
      </c>
      <c r="B41" s="26">
        <v>41787</v>
      </c>
      <c r="C41" s="26">
        <v>41787</v>
      </c>
      <c r="D41" t="s">
        <v>939</v>
      </c>
      <c r="E41" s="26">
        <v>41788</v>
      </c>
      <c r="G41">
        <v>2014</v>
      </c>
      <c r="H41" t="s">
        <v>1054</v>
      </c>
      <c r="I41" t="s">
        <v>75</v>
      </c>
      <c r="J41" t="s">
        <v>75</v>
      </c>
      <c r="K41" t="s">
        <v>953</v>
      </c>
      <c r="L41" t="s">
        <v>942</v>
      </c>
      <c r="M41" t="s">
        <v>943</v>
      </c>
      <c r="N41" t="s">
        <v>944</v>
      </c>
    </row>
    <row r="42" spans="1:15">
      <c r="A42" t="s">
        <v>1055</v>
      </c>
      <c r="B42" s="26">
        <v>42550</v>
      </c>
      <c r="C42" s="26">
        <v>42550</v>
      </c>
      <c r="D42" t="s">
        <v>939</v>
      </c>
      <c r="E42" s="26">
        <v>42550</v>
      </c>
      <c r="G42">
        <v>2016</v>
      </c>
      <c r="H42" t="s">
        <v>1056</v>
      </c>
      <c r="I42" t="s">
        <v>75</v>
      </c>
      <c r="J42" t="s">
        <v>75</v>
      </c>
      <c r="K42" t="s">
        <v>953</v>
      </c>
      <c r="L42" t="s">
        <v>942</v>
      </c>
      <c r="M42" t="s">
        <v>943</v>
      </c>
      <c r="N42" t="s">
        <v>944</v>
      </c>
    </row>
    <row r="43" spans="1:15">
      <c r="A43" t="s">
        <v>1057</v>
      </c>
      <c r="B43" s="26">
        <v>42549</v>
      </c>
      <c r="C43" s="26">
        <v>42549</v>
      </c>
      <c r="D43" t="s">
        <v>939</v>
      </c>
      <c r="E43" s="26">
        <v>42550</v>
      </c>
      <c r="G43">
        <v>2016</v>
      </c>
      <c r="H43" t="s">
        <v>1058</v>
      </c>
      <c r="I43" t="s">
        <v>75</v>
      </c>
      <c r="J43" t="s">
        <v>75</v>
      </c>
      <c r="K43" t="s">
        <v>953</v>
      </c>
      <c r="L43" t="s">
        <v>942</v>
      </c>
      <c r="M43" t="s">
        <v>943</v>
      </c>
      <c r="N43" t="s">
        <v>944</v>
      </c>
    </row>
    <row r="44" spans="1:15">
      <c r="A44" t="s">
        <v>1059</v>
      </c>
      <c r="B44" s="26">
        <v>42453</v>
      </c>
      <c r="C44" s="26">
        <v>42453</v>
      </c>
      <c r="D44" t="s">
        <v>939</v>
      </c>
      <c r="E44" s="26">
        <v>42453</v>
      </c>
      <c r="G44">
        <v>2016</v>
      </c>
      <c r="H44" t="s">
        <v>1060</v>
      </c>
      <c r="I44" t="s">
        <v>75</v>
      </c>
      <c r="J44" t="s">
        <v>75</v>
      </c>
      <c r="K44" t="s">
        <v>1061</v>
      </c>
      <c r="L44" t="s">
        <v>942</v>
      </c>
      <c r="M44" t="s">
        <v>968</v>
      </c>
      <c r="O44" t="s">
        <v>1061</v>
      </c>
    </row>
    <row r="45" spans="1:15">
      <c r="A45" t="s">
        <v>1062</v>
      </c>
      <c r="B45" s="26">
        <v>42671</v>
      </c>
      <c r="C45" s="26">
        <v>42671</v>
      </c>
      <c r="D45" t="s">
        <v>939</v>
      </c>
      <c r="E45" s="26">
        <v>42671</v>
      </c>
      <c r="G45">
        <v>2016</v>
      </c>
      <c r="H45" t="s">
        <v>1010</v>
      </c>
      <c r="I45" t="s">
        <v>75</v>
      </c>
      <c r="J45" t="s">
        <v>75</v>
      </c>
      <c r="K45" t="s">
        <v>1063</v>
      </c>
      <c r="L45" t="s">
        <v>942</v>
      </c>
      <c r="M45" t="s">
        <v>968</v>
      </c>
      <c r="O45" t="s">
        <v>1063</v>
      </c>
    </row>
    <row r="46" spans="1:15">
      <c r="A46" t="s">
        <v>1064</v>
      </c>
      <c r="B46" s="26">
        <v>42677</v>
      </c>
      <c r="C46" s="26">
        <v>42677</v>
      </c>
      <c r="D46" t="s">
        <v>939</v>
      </c>
      <c r="E46" s="26">
        <v>42681</v>
      </c>
      <c r="G46">
        <v>2016</v>
      </c>
      <c r="H46" t="s">
        <v>1065</v>
      </c>
      <c r="I46" t="s">
        <v>75</v>
      </c>
      <c r="J46" t="s">
        <v>75</v>
      </c>
      <c r="K46" t="s">
        <v>1066</v>
      </c>
      <c r="L46" t="s">
        <v>948</v>
      </c>
      <c r="M46" t="s">
        <v>943</v>
      </c>
      <c r="N46" t="s">
        <v>944</v>
      </c>
      <c r="O46" t="s">
        <v>1066</v>
      </c>
    </row>
    <row r="47" spans="1:15">
      <c r="A47" t="s">
        <v>1067</v>
      </c>
      <c r="B47" s="26">
        <v>43734</v>
      </c>
      <c r="C47" s="26">
        <v>43734</v>
      </c>
      <c r="D47" t="s">
        <v>939</v>
      </c>
      <c r="E47" s="26">
        <v>43734</v>
      </c>
      <c r="G47">
        <v>2019</v>
      </c>
      <c r="H47" t="s">
        <v>1068</v>
      </c>
      <c r="I47" t="s">
        <v>75</v>
      </c>
      <c r="J47" t="s">
        <v>75</v>
      </c>
      <c r="K47" t="s">
        <v>1069</v>
      </c>
      <c r="L47" t="s">
        <v>967</v>
      </c>
      <c r="M47" t="s">
        <v>968</v>
      </c>
      <c r="O47" t="s">
        <v>1069</v>
      </c>
    </row>
    <row r="48" spans="1:15">
      <c r="A48" t="s">
        <v>1070</v>
      </c>
      <c r="B48" s="26">
        <v>42549</v>
      </c>
      <c r="C48" s="26">
        <v>42549</v>
      </c>
      <c r="D48" t="s">
        <v>939</v>
      </c>
      <c r="E48" s="26">
        <v>42550</v>
      </c>
      <c r="G48">
        <v>2016</v>
      </c>
      <c r="H48" t="s">
        <v>1071</v>
      </c>
      <c r="I48" t="s">
        <v>75</v>
      </c>
      <c r="J48" t="s">
        <v>75</v>
      </c>
      <c r="K48" t="s">
        <v>953</v>
      </c>
      <c r="L48" t="s">
        <v>942</v>
      </c>
      <c r="M48" t="s">
        <v>943</v>
      </c>
      <c r="N48" t="s">
        <v>944</v>
      </c>
    </row>
    <row r="49" spans="1:15">
      <c r="A49" t="s">
        <v>1072</v>
      </c>
      <c r="B49" s="26">
        <v>42549</v>
      </c>
      <c r="C49" s="26">
        <v>42549</v>
      </c>
      <c r="D49" t="s">
        <v>939</v>
      </c>
      <c r="E49" s="26">
        <v>42550</v>
      </c>
      <c r="G49">
        <v>2016</v>
      </c>
      <c r="H49" t="s">
        <v>1073</v>
      </c>
      <c r="I49" t="s">
        <v>75</v>
      </c>
      <c r="J49" t="s">
        <v>75</v>
      </c>
      <c r="K49" t="s">
        <v>1074</v>
      </c>
      <c r="L49" t="s">
        <v>942</v>
      </c>
      <c r="M49" t="s">
        <v>943</v>
      </c>
      <c r="N49" t="s">
        <v>944</v>
      </c>
      <c r="O49" t="s">
        <v>1074</v>
      </c>
    </row>
    <row r="50" spans="1:15">
      <c r="A50" t="s">
        <v>1075</v>
      </c>
      <c r="B50" s="26">
        <v>41787</v>
      </c>
      <c r="C50" s="26">
        <v>41787</v>
      </c>
      <c r="D50" t="s">
        <v>939</v>
      </c>
      <c r="E50" s="26">
        <v>41788</v>
      </c>
      <c r="G50">
        <v>2014</v>
      </c>
      <c r="H50" t="s">
        <v>1076</v>
      </c>
      <c r="I50" t="s">
        <v>75</v>
      </c>
      <c r="J50" t="s">
        <v>75</v>
      </c>
      <c r="K50" t="s">
        <v>953</v>
      </c>
      <c r="L50" t="s">
        <v>942</v>
      </c>
      <c r="M50" t="s">
        <v>943</v>
      </c>
      <c r="N50" t="s">
        <v>944</v>
      </c>
    </row>
    <row r="51" spans="1:15">
      <c r="A51" t="s">
        <v>1077</v>
      </c>
      <c r="B51" s="26">
        <v>42345</v>
      </c>
      <c r="C51" s="26">
        <v>42345</v>
      </c>
      <c r="D51" t="s">
        <v>939</v>
      </c>
      <c r="E51" s="26">
        <v>42346</v>
      </c>
      <c r="G51">
        <v>2015</v>
      </c>
      <c r="H51" t="s">
        <v>1078</v>
      </c>
      <c r="I51" t="s">
        <v>75</v>
      </c>
      <c r="J51" t="s">
        <v>75</v>
      </c>
      <c r="K51" t="s">
        <v>953</v>
      </c>
      <c r="L51" t="s">
        <v>942</v>
      </c>
      <c r="M51" t="s">
        <v>943</v>
      </c>
      <c r="N51" t="s">
        <v>944</v>
      </c>
    </row>
    <row r="52" spans="1:15">
      <c r="A52" t="s">
        <v>1079</v>
      </c>
      <c r="B52" s="26">
        <v>42230</v>
      </c>
      <c r="C52" s="26">
        <v>42230</v>
      </c>
      <c r="D52" t="s">
        <v>939</v>
      </c>
      <c r="E52" s="26">
        <v>42230</v>
      </c>
      <c r="G52">
        <v>2015</v>
      </c>
      <c r="H52" t="s">
        <v>1080</v>
      </c>
      <c r="I52" t="s">
        <v>75</v>
      </c>
      <c r="J52" t="s">
        <v>75</v>
      </c>
      <c r="K52" t="s">
        <v>1081</v>
      </c>
      <c r="L52" t="s">
        <v>942</v>
      </c>
      <c r="M52" t="s">
        <v>968</v>
      </c>
      <c r="O52" t="s">
        <v>1081</v>
      </c>
    </row>
    <row r="53" spans="1:15">
      <c r="A53" t="s">
        <v>1082</v>
      </c>
      <c r="B53" s="26">
        <v>41787</v>
      </c>
      <c r="C53" s="26">
        <v>41787</v>
      </c>
      <c r="D53" t="s">
        <v>939</v>
      </c>
      <c r="E53" s="26">
        <v>41788</v>
      </c>
      <c r="G53">
        <v>2014</v>
      </c>
      <c r="H53" t="s">
        <v>1083</v>
      </c>
      <c r="I53" t="s">
        <v>75</v>
      </c>
      <c r="J53" t="s">
        <v>75</v>
      </c>
      <c r="K53" t="s">
        <v>953</v>
      </c>
      <c r="L53" t="s">
        <v>942</v>
      </c>
      <c r="M53" t="s">
        <v>943</v>
      </c>
      <c r="N53" t="s">
        <v>944</v>
      </c>
    </row>
    <row r="54" spans="1:15">
      <c r="A54" t="s">
        <v>1084</v>
      </c>
      <c r="B54" s="26">
        <v>42025</v>
      </c>
      <c r="C54" s="26">
        <v>42025</v>
      </c>
      <c r="D54" t="s">
        <v>939</v>
      </c>
      <c r="E54" s="26">
        <v>42030</v>
      </c>
      <c r="G54">
        <v>2015</v>
      </c>
      <c r="H54" t="s">
        <v>1085</v>
      </c>
      <c r="I54" t="s">
        <v>75</v>
      </c>
      <c r="J54" t="s">
        <v>75</v>
      </c>
      <c r="K54" t="s">
        <v>953</v>
      </c>
      <c r="L54" t="s">
        <v>1086</v>
      </c>
      <c r="M54" t="s">
        <v>1087</v>
      </c>
      <c r="N54" t="s">
        <v>1088</v>
      </c>
    </row>
    <row r="55" spans="1:15">
      <c r="A55" t="s">
        <v>1089</v>
      </c>
      <c r="B55" s="26">
        <v>42550</v>
      </c>
      <c r="C55" s="26">
        <v>42550</v>
      </c>
      <c r="D55" t="s">
        <v>939</v>
      </c>
      <c r="E55" s="26">
        <v>42550</v>
      </c>
      <c r="G55">
        <v>2016</v>
      </c>
      <c r="H55" t="s">
        <v>1090</v>
      </c>
      <c r="I55" t="s">
        <v>75</v>
      </c>
      <c r="J55" t="s">
        <v>75</v>
      </c>
      <c r="K55" t="s">
        <v>953</v>
      </c>
      <c r="L55" t="s">
        <v>942</v>
      </c>
      <c r="M55" t="s">
        <v>943</v>
      </c>
      <c r="N55" t="s">
        <v>944</v>
      </c>
    </row>
    <row r="56" spans="1:15">
      <c r="A56" t="s">
        <v>1091</v>
      </c>
      <c r="B56" s="26">
        <v>42677</v>
      </c>
      <c r="C56" s="26">
        <v>42677</v>
      </c>
      <c r="D56" t="s">
        <v>939</v>
      </c>
      <c r="E56" s="26">
        <v>42681</v>
      </c>
      <c r="G56">
        <v>2016</v>
      </c>
      <c r="H56" t="s">
        <v>1092</v>
      </c>
      <c r="I56" t="s">
        <v>75</v>
      </c>
      <c r="J56" t="s">
        <v>75</v>
      </c>
      <c r="K56" t="s">
        <v>1093</v>
      </c>
      <c r="L56" t="s">
        <v>948</v>
      </c>
      <c r="M56" t="s">
        <v>943</v>
      </c>
      <c r="N56" t="s">
        <v>944</v>
      </c>
      <c r="O56" t="s">
        <v>1093</v>
      </c>
    </row>
    <row r="57" spans="1:15">
      <c r="A57" t="s">
        <v>1094</v>
      </c>
      <c r="B57" s="26">
        <v>42550</v>
      </c>
      <c r="C57" s="26">
        <v>42550</v>
      </c>
      <c r="D57" t="s">
        <v>939</v>
      </c>
      <c r="E57" s="26">
        <v>42550</v>
      </c>
      <c r="G57">
        <v>2016</v>
      </c>
      <c r="H57" t="s">
        <v>1095</v>
      </c>
      <c r="I57" t="s">
        <v>75</v>
      </c>
      <c r="J57" t="s">
        <v>75</v>
      </c>
      <c r="K57" t="s">
        <v>953</v>
      </c>
      <c r="L57" t="s">
        <v>942</v>
      </c>
      <c r="M57" t="s">
        <v>943</v>
      </c>
      <c r="N57" t="s">
        <v>944</v>
      </c>
    </row>
    <row r="58" spans="1:15">
      <c r="A58" t="s">
        <v>1096</v>
      </c>
      <c r="B58" s="26">
        <v>42639</v>
      </c>
      <c r="C58" s="26">
        <v>42639</v>
      </c>
      <c r="D58" t="s">
        <v>939</v>
      </c>
      <c r="E58" s="26">
        <v>42639</v>
      </c>
      <c r="G58">
        <v>2016</v>
      </c>
      <c r="H58" t="s">
        <v>1028</v>
      </c>
      <c r="I58" t="s">
        <v>75</v>
      </c>
      <c r="J58" t="s">
        <v>75</v>
      </c>
      <c r="K58">
        <v>-24653</v>
      </c>
      <c r="L58" t="s">
        <v>961</v>
      </c>
      <c r="M58" t="s">
        <v>962</v>
      </c>
      <c r="N58" t="s">
        <v>963</v>
      </c>
      <c r="O58" t="s">
        <v>1029</v>
      </c>
    </row>
    <row r="59" spans="1:15">
      <c r="A59" t="s">
        <v>1097</v>
      </c>
      <c r="B59" s="26">
        <v>42549</v>
      </c>
      <c r="C59" s="26">
        <v>42549</v>
      </c>
      <c r="D59" t="s">
        <v>939</v>
      </c>
      <c r="E59" s="26">
        <v>42550</v>
      </c>
      <c r="G59">
        <v>2016</v>
      </c>
      <c r="H59" t="s">
        <v>1044</v>
      </c>
      <c r="I59" t="s">
        <v>75</v>
      </c>
      <c r="J59" t="s">
        <v>75</v>
      </c>
      <c r="K59" t="s">
        <v>1098</v>
      </c>
      <c r="L59" t="s">
        <v>942</v>
      </c>
      <c r="M59" t="s">
        <v>943</v>
      </c>
      <c r="N59" t="s">
        <v>944</v>
      </c>
      <c r="O59" t="s">
        <v>1098</v>
      </c>
    </row>
    <row r="60" spans="1:15">
      <c r="A60" t="s">
        <v>1099</v>
      </c>
      <c r="B60" s="26">
        <v>42346</v>
      </c>
      <c r="C60" s="26">
        <v>42346</v>
      </c>
      <c r="D60" t="s">
        <v>939</v>
      </c>
      <c r="E60" s="26">
        <v>42346</v>
      </c>
      <c r="G60">
        <v>2015</v>
      </c>
      <c r="H60" t="s">
        <v>1100</v>
      </c>
      <c r="I60" t="s">
        <v>75</v>
      </c>
      <c r="J60" t="s">
        <v>75</v>
      </c>
      <c r="K60" t="s">
        <v>953</v>
      </c>
      <c r="L60" t="s">
        <v>942</v>
      </c>
      <c r="M60" t="s">
        <v>943</v>
      </c>
      <c r="N60" t="s">
        <v>944</v>
      </c>
    </row>
    <row r="61" spans="1:15">
      <c r="A61" t="s">
        <v>1101</v>
      </c>
      <c r="B61" s="26">
        <v>44068</v>
      </c>
      <c r="C61" s="26">
        <v>44068</v>
      </c>
      <c r="D61" t="s">
        <v>939</v>
      </c>
      <c r="E61" s="26">
        <v>44068</v>
      </c>
      <c r="G61">
        <v>2020</v>
      </c>
      <c r="H61" t="s">
        <v>1102</v>
      </c>
      <c r="I61" t="s">
        <v>75</v>
      </c>
      <c r="J61" t="s">
        <v>75</v>
      </c>
      <c r="K61" t="s">
        <v>1103</v>
      </c>
      <c r="L61" t="s">
        <v>967</v>
      </c>
      <c r="M61" t="s">
        <v>943</v>
      </c>
      <c r="N61" t="s">
        <v>944</v>
      </c>
      <c r="O61" t="s">
        <v>1103</v>
      </c>
    </row>
    <row r="62" spans="1:15">
      <c r="A62" t="s">
        <v>1104</v>
      </c>
      <c r="B62" s="26">
        <v>44068</v>
      </c>
      <c r="C62" s="26">
        <v>44068</v>
      </c>
      <c r="D62" t="s">
        <v>939</v>
      </c>
      <c r="E62" s="26">
        <v>44068</v>
      </c>
      <c r="G62">
        <v>2020</v>
      </c>
      <c r="H62" t="s">
        <v>1105</v>
      </c>
      <c r="I62" t="s">
        <v>75</v>
      </c>
      <c r="J62" t="s">
        <v>75</v>
      </c>
      <c r="K62" t="s">
        <v>1106</v>
      </c>
      <c r="L62" t="s">
        <v>967</v>
      </c>
      <c r="M62" t="s">
        <v>943</v>
      </c>
      <c r="N62" t="s">
        <v>944</v>
      </c>
      <c r="O62" t="s">
        <v>1106</v>
      </c>
    </row>
    <row r="63" spans="1:15">
      <c r="A63" t="s">
        <v>1107</v>
      </c>
      <c r="B63" s="26">
        <v>44068</v>
      </c>
      <c r="C63" s="26">
        <v>44068</v>
      </c>
      <c r="D63" t="s">
        <v>939</v>
      </c>
      <c r="E63" s="26">
        <v>44068</v>
      </c>
      <c r="G63">
        <v>2020</v>
      </c>
      <c r="H63" t="s">
        <v>1108</v>
      </c>
      <c r="I63" t="s">
        <v>75</v>
      </c>
      <c r="J63" t="s">
        <v>75</v>
      </c>
      <c r="K63" t="s">
        <v>1109</v>
      </c>
      <c r="L63" t="s">
        <v>967</v>
      </c>
      <c r="M63" t="s">
        <v>943</v>
      </c>
      <c r="N63" t="s">
        <v>944</v>
      </c>
      <c r="O63" t="s">
        <v>1109</v>
      </c>
    </row>
    <row r="64" spans="1:15">
      <c r="A64" t="s">
        <v>1110</v>
      </c>
      <c r="B64" s="26">
        <v>44068</v>
      </c>
      <c r="C64" s="26">
        <v>44068</v>
      </c>
      <c r="D64" t="s">
        <v>939</v>
      </c>
      <c r="E64" s="26">
        <v>44068</v>
      </c>
      <c r="G64">
        <v>2020</v>
      </c>
      <c r="H64" t="s">
        <v>1111</v>
      </c>
      <c r="I64" t="s">
        <v>75</v>
      </c>
      <c r="J64" t="s">
        <v>75</v>
      </c>
      <c r="K64" t="s">
        <v>1112</v>
      </c>
      <c r="L64" t="s">
        <v>967</v>
      </c>
      <c r="M64" t="s">
        <v>943</v>
      </c>
      <c r="N64" t="s">
        <v>944</v>
      </c>
      <c r="O64" t="s">
        <v>1112</v>
      </c>
    </row>
    <row r="65" spans="1:15">
      <c r="A65" t="s">
        <v>1113</v>
      </c>
      <c r="B65" s="26">
        <v>43956</v>
      </c>
      <c r="C65" s="26">
        <v>43956</v>
      </c>
      <c r="D65" t="s">
        <v>939</v>
      </c>
      <c r="E65" s="26">
        <v>43956</v>
      </c>
      <c r="G65">
        <v>2020</v>
      </c>
      <c r="H65" t="s">
        <v>1114</v>
      </c>
      <c r="I65" t="s">
        <v>75</v>
      </c>
      <c r="J65" t="s">
        <v>75</v>
      </c>
      <c r="K65" t="s">
        <v>1115</v>
      </c>
      <c r="L65" t="s">
        <v>967</v>
      </c>
      <c r="M65" t="s">
        <v>1005</v>
      </c>
      <c r="N65" t="s">
        <v>963</v>
      </c>
      <c r="O65" t="s">
        <v>1115</v>
      </c>
    </row>
    <row r="66" spans="1:15">
      <c r="A66" t="s">
        <v>1116</v>
      </c>
      <c r="B66" s="26">
        <v>43577</v>
      </c>
      <c r="C66" s="26">
        <v>43577</v>
      </c>
      <c r="D66" t="s">
        <v>939</v>
      </c>
      <c r="E66" s="26">
        <v>43577</v>
      </c>
      <c r="G66">
        <v>2019</v>
      </c>
      <c r="H66" t="s">
        <v>1117</v>
      </c>
      <c r="I66" t="s">
        <v>75</v>
      </c>
      <c r="J66" t="s">
        <v>75</v>
      </c>
      <c r="K66" t="s">
        <v>1118</v>
      </c>
      <c r="L66" t="s">
        <v>967</v>
      </c>
      <c r="M66" t="s">
        <v>968</v>
      </c>
      <c r="O66" t="s">
        <v>1118</v>
      </c>
    </row>
    <row r="67" spans="1:15">
      <c r="A67" t="s">
        <v>1119</v>
      </c>
      <c r="B67" s="26">
        <v>44147</v>
      </c>
      <c r="C67" s="26">
        <v>44147</v>
      </c>
      <c r="D67" t="s">
        <v>939</v>
      </c>
      <c r="E67" s="26">
        <v>44147</v>
      </c>
      <c r="G67">
        <v>2020</v>
      </c>
      <c r="H67" t="s">
        <v>1120</v>
      </c>
      <c r="I67" t="s">
        <v>75</v>
      </c>
      <c r="J67" t="s">
        <v>75</v>
      </c>
      <c r="K67" t="s">
        <v>1121</v>
      </c>
      <c r="L67" t="s">
        <v>961</v>
      </c>
      <c r="M67" t="s">
        <v>1122</v>
      </c>
      <c r="N67" t="s">
        <v>963</v>
      </c>
      <c r="O67" t="s">
        <v>1121</v>
      </c>
    </row>
    <row r="68" spans="1:15">
      <c r="A68" t="s">
        <v>1123</v>
      </c>
      <c r="B68" s="26">
        <v>44068</v>
      </c>
      <c r="C68" s="26">
        <v>44068</v>
      </c>
      <c r="D68" t="s">
        <v>939</v>
      </c>
      <c r="E68" s="26">
        <v>44068</v>
      </c>
      <c r="G68">
        <v>2020</v>
      </c>
      <c r="H68" t="s">
        <v>1124</v>
      </c>
      <c r="I68" t="s">
        <v>75</v>
      </c>
      <c r="J68" t="s">
        <v>75</v>
      </c>
      <c r="K68" t="s">
        <v>1125</v>
      </c>
      <c r="L68" t="s">
        <v>967</v>
      </c>
      <c r="M68" t="s">
        <v>943</v>
      </c>
      <c r="N68" t="s">
        <v>944</v>
      </c>
      <c r="O68" t="s">
        <v>1125</v>
      </c>
    </row>
    <row r="69" spans="1:15">
      <c r="A69" t="s">
        <v>1126</v>
      </c>
      <c r="B69" s="26">
        <v>44068</v>
      </c>
      <c r="C69" s="26">
        <v>44068</v>
      </c>
      <c r="D69" t="s">
        <v>939</v>
      </c>
      <c r="E69" s="26">
        <v>44068</v>
      </c>
      <c r="G69">
        <v>2020</v>
      </c>
      <c r="H69" t="s">
        <v>1127</v>
      </c>
      <c r="I69" t="s">
        <v>75</v>
      </c>
      <c r="J69" t="s">
        <v>75</v>
      </c>
      <c r="K69" t="s">
        <v>953</v>
      </c>
      <c r="L69" t="s">
        <v>967</v>
      </c>
      <c r="M69" t="s">
        <v>943</v>
      </c>
      <c r="N69" t="s">
        <v>944</v>
      </c>
    </row>
    <row r="70" spans="1:15">
      <c r="A70" t="s">
        <v>1128</v>
      </c>
      <c r="B70" s="26">
        <v>42550</v>
      </c>
      <c r="C70" s="26">
        <v>42550</v>
      </c>
      <c r="D70" t="s">
        <v>939</v>
      </c>
      <c r="E70" s="26">
        <v>42550</v>
      </c>
      <c r="G70">
        <v>2016</v>
      </c>
      <c r="H70" t="s">
        <v>1018</v>
      </c>
      <c r="I70" t="s">
        <v>75</v>
      </c>
      <c r="J70" t="s">
        <v>75</v>
      </c>
      <c r="K70" t="s">
        <v>953</v>
      </c>
      <c r="L70" t="s">
        <v>942</v>
      </c>
      <c r="M70" t="s">
        <v>943</v>
      </c>
      <c r="N70" t="s">
        <v>944</v>
      </c>
    </row>
    <row r="71" spans="1:15">
      <c r="A71" t="s">
        <v>1129</v>
      </c>
      <c r="B71" s="26">
        <v>42384</v>
      </c>
      <c r="C71" s="26">
        <v>42384</v>
      </c>
      <c r="D71" t="s">
        <v>939</v>
      </c>
      <c r="E71" s="26">
        <v>42384</v>
      </c>
      <c r="G71">
        <v>2016</v>
      </c>
      <c r="H71" t="s">
        <v>1130</v>
      </c>
      <c r="I71" t="s">
        <v>75</v>
      </c>
      <c r="J71" t="s">
        <v>75</v>
      </c>
      <c r="K71" t="s">
        <v>953</v>
      </c>
      <c r="L71" t="s">
        <v>942</v>
      </c>
      <c r="M71" t="s">
        <v>968</v>
      </c>
    </row>
    <row r="72" spans="1:15">
      <c r="A72" t="s">
        <v>1131</v>
      </c>
      <c r="B72" s="26">
        <v>44068</v>
      </c>
      <c r="C72" s="26">
        <v>44068</v>
      </c>
      <c r="D72" t="s">
        <v>939</v>
      </c>
      <c r="E72" s="26">
        <v>44068</v>
      </c>
      <c r="G72">
        <v>2020</v>
      </c>
      <c r="H72" t="s">
        <v>1132</v>
      </c>
      <c r="I72" t="s">
        <v>75</v>
      </c>
      <c r="J72" t="s">
        <v>75</v>
      </c>
      <c r="K72" t="s">
        <v>1133</v>
      </c>
      <c r="L72" t="s">
        <v>967</v>
      </c>
      <c r="M72" t="s">
        <v>943</v>
      </c>
      <c r="N72" t="s">
        <v>944</v>
      </c>
      <c r="O72" t="s">
        <v>1133</v>
      </c>
    </row>
    <row r="73" spans="1:15">
      <c r="A73" t="s">
        <v>1134</v>
      </c>
      <c r="B73" s="26">
        <v>42549</v>
      </c>
      <c r="C73" s="26">
        <v>42549</v>
      </c>
      <c r="D73" t="s">
        <v>939</v>
      </c>
      <c r="E73" s="26">
        <v>42550</v>
      </c>
      <c r="G73">
        <v>2016</v>
      </c>
      <c r="H73" t="s">
        <v>1135</v>
      </c>
      <c r="I73" t="s">
        <v>75</v>
      </c>
      <c r="J73" t="s">
        <v>75</v>
      </c>
      <c r="K73" t="s">
        <v>953</v>
      </c>
      <c r="L73" t="s">
        <v>942</v>
      </c>
      <c r="M73" t="s">
        <v>943</v>
      </c>
      <c r="N73" t="s">
        <v>944</v>
      </c>
    </row>
    <row r="74" spans="1:15">
      <c r="A74" t="s">
        <v>1136</v>
      </c>
      <c r="B74" s="26">
        <v>44068</v>
      </c>
      <c r="C74" s="26">
        <v>44068</v>
      </c>
      <c r="D74" t="s">
        <v>939</v>
      </c>
      <c r="E74" s="26">
        <v>44068</v>
      </c>
      <c r="G74">
        <v>2020</v>
      </c>
      <c r="H74" t="s">
        <v>1137</v>
      </c>
      <c r="I74" t="s">
        <v>75</v>
      </c>
      <c r="J74" t="s">
        <v>75</v>
      </c>
      <c r="K74" t="s">
        <v>1109</v>
      </c>
      <c r="L74" t="s">
        <v>967</v>
      </c>
      <c r="M74" t="s">
        <v>943</v>
      </c>
      <c r="N74" t="s">
        <v>944</v>
      </c>
      <c r="O74" t="s">
        <v>1109</v>
      </c>
    </row>
    <row r="75" spans="1:15">
      <c r="A75" t="s">
        <v>1138</v>
      </c>
      <c r="B75" s="26">
        <v>42549</v>
      </c>
      <c r="C75" s="26">
        <v>42549</v>
      </c>
      <c r="D75" t="s">
        <v>939</v>
      </c>
      <c r="E75" s="26">
        <v>42550</v>
      </c>
      <c r="G75">
        <v>2016</v>
      </c>
      <c r="H75" t="s">
        <v>1139</v>
      </c>
      <c r="I75" t="s">
        <v>75</v>
      </c>
      <c r="J75" t="s">
        <v>75</v>
      </c>
      <c r="K75" t="s">
        <v>1140</v>
      </c>
      <c r="L75" t="s">
        <v>942</v>
      </c>
      <c r="M75" t="s">
        <v>943</v>
      </c>
      <c r="N75" t="s">
        <v>944</v>
      </c>
      <c r="O75" t="s">
        <v>1140</v>
      </c>
    </row>
    <row r="76" spans="1:15">
      <c r="A76" t="s">
        <v>1141</v>
      </c>
      <c r="B76" s="26">
        <v>42550</v>
      </c>
      <c r="C76" s="26">
        <v>42550</v>
      </c>
      <c r="D76" t="s">
        <v>939</v>
      </c>
      <c r="E76" s="26">
        <v>42550</v>
      </c>
      <c r="G76">
        <v>2016</v>
      </c>
      <c r="H76" t="s">
        <v>1142</v>
      </c>
      <c r="I76" t="s">
        <v>75</v>
      </c>
      <c r="J76" t="s">
        <v>75</v>
      </c>
      <c r="K76" t="s">
        <v>953</v>
      </c>
      <c r="L76" t="s">
        <v>942</v>
      </c>
      <c r="M76" t="s">
        <v>943</v>
      </c>
      <c r="N76" t="s">
        <v>944</v>
      </c>
    </row>
    <row r="77" spans="1:15">
      <c r="A77" t="s">
        <v>1143</v>
      </c>
      <c r="B77" s="26">
        <v>42549</v>
      </c>
      <c r="C77" s="26">
        <v>42549</v>
      </c>
      <c r="D77" t="s">
        <v>939</v>
      </c>
      <c r="E77" s="26">
        <v>42550</v>
      </c>
      <c r="G77">
        <v>2016</v>
      </c>
      <c r="H77" t="s">
        <v>1144</v>
      </c>
      <c r="I77" t="s">
        <v>75</v>
      </c>
      <c r="J77" t="s">
        <v>75</v>
      </c>
      <c r="K77" t="s">
        <v>953</v>
      </c>
      <c r="L77" t="s">
        <v>942</v>
      </c>
      <c r="M77" t="s">
        <v>943</v>
      </c>
      <c r="N77" t="s">
        <v>944</v>
      </c>
    </row>
    <row r="78" spans="1:15">
      <c r="A78" t="s">
        <v>1145</v>
      </c>
      <c r="B78" s="26">
        <v>42550</v>
      </c>
      <c r="C78" s="26">
        <v>42550</v>
      </c>
      <c r="D78" t="s">
        <v>939</v>
      </c>
      <c r="E78" s="26">
        <v>42550</v>
      </c>
      <c r="G78">
        <v>2016</v>
      </c>
      <c r="H78" t="s">
        <v>1146</v>
      </c>
      <c r="I78" t="s">
        <v>75</v>
      </c>
      <c r="J78" t="s">
        <v>75</v>
      </c>
      <c r="K78" t="s">
        <v>953</v>
      </c>
      <c r="L78" t="s">
        <v>942</v>
      </c>
      <c r="M78" t="s">
        <v>943</v>
      </c>
      <c r="N78" t="s">
        <v>944</v>
      </c>
    </row>
    <row r="79" spans="1:15">
      <c r="A79" t="s">
        <v>1147</v>
      </c>
      <c r="B79" s="26">
        <v>42550</v>
      </c>
      <c r="C79" s="26">
        <v>42550</v>
      </c>
      <c r="D79" t="s">
        <v>939</v>
      </c>
      <c r="E79" s="26">
        <v>42550</v>
      </c>
      <c r="G79">
        <v>2016</v>
      </c>
      <c r="H79" t="s">
        <v>1148</v>
      </c>
      <c r="I79" t="s">
        <v>75</v>
      </c>
      <c r="J79" t="s">
        <v>75</v>
      </c>
      <c r="K79" t="s">
        <v>953</v>
      </c>
      <c r="L79" t="s">
        <v>942</v>
      </c>
      <c r="M79" t="s">
        <v>943</v>
      </c>
      <c r="N79" t="s">
        <v>944</v>
      </c>
    </row>
    <row r="80" spans="1:15">
      <c r="A80" t="s">
        <v>1149</v>
      </c>
      <c r="B80" s="26">
        <v>42934</v>
      </c>
      <c r="C80" s="26">
        <v>42934</v>
      </c>
      <c r="D80" t="s">
        <v>939</v>
      </c>
      <c r="E80" s="26">
        <v>42934</v>
      </c>
      <c r="G80">
        <v>2017</v>
      </c>
      <c r="H80" t="s">
        <v>1150</v>
      </c>
      <c r="I80" t="s">
        <v>75</v>
      </c>
      <c r="J80" t="s">
        <v>75</v>
      </c>
      <c r="K80" t="s">
        <v>1151</v>
      </c>
      <c r="L80" t="s">
        <v>942</v>
      </c>
      <c r="M80" t="s">
        <v>968</v>
      </c>
      <c r="O80" t="s">
        <v>1151</v>
      </c>
    </row>
    <row r="81" spans="1:17">
      <c r="A81" t="s">
        <v>1152</v>
      </c>
      <c r="B81" s="26">
        <v>42345</v>
      </c>
      <c r="C81" s="26">
        <v>42345</v>
      </c>
      <c r="D81" t="s">
        <v>939</v>
      </c>
      <c r="E81" s="26">
        <v>42346</v>
      </c>
      <c r="G81">
        <v>2015</v>
      </c>
      <c r="H81" t="s">
        <v>1153</v>
      </c>
      <c r="I81" t="s">
        <v>75</v>
      </c>
      <c r="J81" t="s">
        <v>75</v>
      </c>
      <c r="K81" t="s">
        <v>1154</v>
      </c>
      <c r="L81" t="s">
        <v>942</v>
      </c>
      <c r="M81" t="s">
        <v>943</v>
      </c>
      <c r="N81" t="s">
        <v>944</v>
      </c>
      <c r="O81" t="s">
        <v>1154</v>
      </c>
    </row>
    <row r="82" spans="1:17">
      <c r="A82" t="s">
        <v>1155</v>
      </c>
      <c r="B82" s="26">
        <v>43523</v>
      </c>
      <c r="C82" s="26">
        <v>43523</v>
      </c>
      <c r="D82" t="s">
        <v>939</v>
      </c>
      <c r="E82" s="26">
        <v>43524</v>
      </c>
      <c r="G82">
        <v>2019</v>
      </c>
      <c r="H82" t="s">
        <v>1156</v>
      </c>
      <c r="I82" t="s">
        <v>75</v>
      </c>
      <c r="J82" t="s">
        <v>75</v>
      </c>
      <c r="K82" t="s">
        <v>1157</v>
      </c>
      <c r="L82" t="s">
        <v>967</v>
      </c>
      <c r="M82" t="s">
        <v>943</v>
      </c>
      <c r="N82" t="s">
        <v>944</v>
      </c>
      <c r="O82" t="s">
        <v>1157</v>
      </c>
    </row>
    <row r="83" spans="1:17">
      <c r="A83" t="s">
        <v>1158</v>
      </c>
      <c r="B83" s="26">
        <v>41787</v>
      </c>
      <c r="C83" s="26">
        <v>41787</v>
      </c>
      <c r="D83" t="s">
        <v>939</v>
      </c>
      <c r="E83" s="26">
        <v>41788</v>
      </c>
      <c r="G83">
        <v>2014</v>
      </c>
      <c r="H83" t="s">
        <v>1159</v>
      </c>
      <c r="I83" t="s">
        <v>75</v>
      </c>
      <c r="J83" t="s">
        <v>75</v>
      </c>
      <c r="K83" t="s">
        <v>953</v>
      </c>
      <c r="L83" t="s">
        <v>942</v>
      </c>
      <c r="M83" t="s">
        <v>943</v>
      </c>
      <c r="N83" t="s">
        <v>944</v>
      </c>
    </row>
    <row r="84" spans="1:17">
      <c r="A84" t="s">
        <v>1160</v>
      </c>
      <c r="B84" s="26">
        <v>42345</v>
      </c>
      <c r="C84" s="26">
        <v>42345</v>
      </c>
      <c r="D84" t="s">
        <v>939</v>
      </c>
      <c r="E84" s="26">
        <v>42346</v>
      </c>
      <c r="G84">
        <v>2015</v>
      </c>
      <c r="H84" t="s">
        <v>1161</v>
      </c>
      <c r="I84" t="s">
        <v>75</v>
      </c>
      <c r="J84" t="s">
        <v>75</v>
      </c>
      <c r="K84" t="s">
        <v>953</v>
      </c>
      <c r="L84" t="s">
        <v>942</v>
      </c>
      <c r="M84" t="s">
        <v>943</v>
      </c>
      <c r="N84" t="s">
        <v>944</v>
      </c>
    </row>
    <row r="85" spans="1:17">
      <c r="A85" t="s">
        <v>1162</v>
      </c>
      <c r="B85" s="26">
        <v>42384</v>
      </c>
      <c r="C85" s="26">
        <v>42384</v>
      </c>
      <c r="D85" t="s">
        <v>939</v>
      </c>
      <c r="E85" s="26">
        <v>42384</v>
      </c>
      <c r="G85">
        <v>2016</v>
      </c>
      <c r="H85" t="s">
        <v>1163</v>
      </c>
      <c r="I85" t="s">
        <v>75</v>
      </c>
      <c r="J85" t="s">
        <v>75</v>
      </c>
      <c r="K85" t="s">
        <v>953</v>
      </c>
      <c r="L85" t="s">
        <v>942</v>
      </c>
      <c r="M85" t="s">
        <v>968</v>
      </c>
    </row>
    <row r="86" spans="1:17">
      <c r="A86" t="s">
        <v>1164</v>
      </c>
      <c r="B86" s="26">
        <v>42550</v>
      </c>
      <c r="C86" s="26">
        <v>42550</v>
      </c>
      <c r="D86" t="s">
        <v>939</v>
      </c>
      <c r="E86" s="26">
        <v>42550</v>
      </c>
      <c r="G86">
        <v>2016</v>
      </c>
      <c r="H86" t="s">
        <v>1165</v>
      </c>
      <c r="I86" t="s">
        <v>75</v>
      </c>
      <c r="J86" t="s">
        <v>75</v>
      </c>
      <c r="K86" t="s">
        <v>953</v>
      </c>
      <c r="L86" t="s">
        <v>942</v>
      </c>
      <c r="M86" t="s">
        <v>943</v>
      </c>
      <c r="N86" t="s">
        <v>944</v>
      </c>
    </row>
    <row r="87" spans="1:17">
      <c r="A87" t="s">
        <v>1166</v>
      </c>
      <c r="B87" s="26">
        <v>43277</v>
      </c>
      <c r="C87" s="26">
        <v>43277</v>
      </c>
      <c r="D87" t="s">
        <v>939</v>
      </c>
      <c r="E87" s="26">
        <v>43277</v>
      </c>
      <c r="G87">
        <v>2018</v>
      </c>
      <c r="H87" t="s">
        <v>1167</v>
      </c>
      <c r="I87" t="s">
        <v>75</v>
      </c>
      <c r="J87" t="s">
        <v>75</v>
      </c>
      <c r="K87" t="s">
        <v>953</v>
      </c>
      <c r="L87" t="s">
        <v>967</v>
      </c>
      <c r="M87" t="s">
        <v>968</v>
      </c>
    </row>
    <row r="88" spans="1:17">
      <c r="A88" t="s">
        <v>1168</v>
      </c>
      <c r="B88" s="26">
        <v>42550</v>
      </c>
      <c r="C88" s="26">
        <v>42550</v>
      </c>
      <c r="D88" t="s">
        <v>939</v>
      </c>
      <c r="E88" s="26">
        <v>42550</v>
      </c>
      <c r="G88">
        <v>2016</v>
      </c>
      <c r="H88" t="s">
        <v>1169</v>
      </c>
      <c r="I88" t="s">
        <v>75</v>
      </c>
      <c r="J88" t="s">
        <v>75</v>
      </c>
      <c r="K88" t="s">
        <v>953</v>
      </c>
      <c r="L88" t="s">
        <v>942</v>
      </c>
      <c r="M88" t="s">
        <v>943</v>
      </c>
      <c r="N88" t="s">
        <v>944</v>
      </c>
    </row>
    <row r="89" spans="1:17">
      <c r="A89" t="s">
        <v>1170</v>
      </c>
      <c r="B89" s="26">
        <v>42550</v>
      </c>
      <c r="C89" s="26">
        <v>42550</v>
      </c>
      <c r="D89" t="s">
        <v>939</v>
      </c>
      <c r="E89" s="26">
        <v>42550</v>
      </c>
      <c r="G89">
        <v>2016</v>
      </c>
      <c r="H89" t="s">
        <v>1171</v>
      </c>
      <c r="I89" t="s">
        <v>75</v>
      </c>
      <c r="J89" t="s">
        <v>75</v>
      </c>
      <c r="K89" t="s">
        <v>953</v>
      </c>
      <c r="L89" t="s">
        <v>942</v>
      </c>
      <c r="M89" t="s">
        <v>943</v>
      </c>
      <c r="N89" t="s">
        <v>944</v>
      </c>
    </row>
    <row r="90" spans="1:17">
      <c r="A90" t="s">
        <v>1172</v>
      </c>
      <c r="B90" s="26">
        <v>42550</v>
      </c>
      <c r="C90" s="26">
        <v>42550</v>
      </c>
      <c r="D90" t="s">
        <v>939</v>
      </c>
      <c r="E90" s="26">
        <v>42550</v>
      </c>
      <c r="G90">
        <v>2016</v>
      </c>
      <c r="H90" t="s">
        <v>1148</v>
      </c>
      <c r="I90" t="s">
        <v>75</v>
      </c>
      <c r="J90" t="s">
        <v>75</v>
      </c>
      <c r="K90" t="s">
        <v>953</v>
      </c>
      <c r="L90" t="s">
        <v>942</v>
      </c>
      <c r="M90" t="s">
        <v>943</v>
      </c>
      <c r="N90" t="s">
        <v>944</v>
      </c>
    </row>
    <row r="91" spans="1:17">
      <c r="A91" t="s">
        <v>1173</v>
      </c>
      <c r="B91" s="26">
        <v>42453</v>
      </c>
      <c r="C91" s="26">
        <v>42453</v>
      </c>
      <c r="D91" t="s">
        <v>939</v>
      </c>
      <c r="E91" s="26">
        <v>42453</v>
      </c>
      <c r="G91">
        <v>2016</v>
      </c>
      <c r="H91" t="s">
        <v>1174</v>
      </c>
      <c r="I91" t="s">
        <v>75</v>
      </c>
      <c r="J91" t="s">
        <v>75</v>
      </c>
      <c r="K91" t="s">
        <v>1175</v>
      </c>
      <c r="L91" t="s">
        <v>942</v>
      </c>
      <c r="M91" t="s">
        <v>968</v>
      </c>
      <c r="O91" t="s">
        <v>1175</v>
      </c>
    </row>
    <row r="92" spans="1:17">
      <c r="A92" t="s">
        <v>1176</v>
      </c>
      <c r="B92" s="26">
        <v>42549</v>
      </c>
      <c r="C92" s="26">
        <v>42549</v>
      </c>
      <c r="D92" t="s">
        <v>939</v>
      </c>
      <c r="E92" s="26">
        <v>42550</v>
      </c>
      <c r="G92">
        <v>2016</v>
      </c>
      <c r="H92" t="s">
        <v>1177</v>
      </c>
      <c r="I92" t="s">
        <v>75</v>
      </c>
      <c r="J92" t="s">
        <v>75</v>
      </c>
      <c r="K92" t="s">
        <v>1178</v>
      </c>
      <c r="L92" t="s">
        <v>942</v>
      </c>
      <c r="M92" t="s">
        <v>943</v>
      </c>
      <c r="N92" t="s">
        <v>944</v>
      </c>
      <c r="O92" t="s">
        <v>1178</v>
      </c>
    </row>
    <row r="93" spans="1:17">
      <c r="A93" t="s">
        <v>1179</v>
      </c>
      <c r="B93" s="26">
        <v>43651</v>
      </c>
      <c r="C93" s="26">
        <v>43651</v>
      </c>
      <c r="D93" t="s">
        <v>939</v>
      </c>
      <c r="E93" s="26">
        <v>43651</v>
      </c>
      <c r="G93">
        <v>2019</v>
      </c>
      <c r="H93" t="s">
        <v>1180</v>
      </c>
      <c r="I93" t="s">
        <v>75</v>
      </c>
      <c r="J93" t="s">
        <v>75</v>
      </c>
      <c r="K93" t="s">
        <v>1181</v>
      </c>
      <c r="L93" t="s">
        <v>1182</v>
      </c>
      <c r="M93" t="s">
        <v>968</v>
      </c>
      <c r="O93" t="s">
        <v>1181</v>
      </c>
    </row>
    <row r="94" spans="1:17">
      <c r="A94" t="s">
        <v>1183</v>
      </c>
      <c r="B94" s="26">
        <v>43747</v>
      </c>
      <c r="C94" s="26">
        <v>43747</v>
      </c>
      <c r="D94" t="s">
        <v>939</v>
      </c>
      <c r="E94" s="26">
        <v>43747</v>
      </c>
      <c r="G94">
        <v>2019</v>
      </c>
      <c r="H94" t="s">
        <v>1184</v>
      </c>
      <c r="I94" t="s">
        <v>75</v>
      </c>
      <c r="J94" t="s">
        <v>75</v>
      </c>
      <c r="K94" t="s">
        <v>1185</v>
      </c>
      <c r="L94" t="s">
        <v>967</v>
      </c>
      <c r="M94" t="s">
        <v>1036</v>
      </c>
      <c r="N94" t="s">
        <v>963</v>
      </c>
      <c r="O94" t="s">
        <v>1185</v>
      </c>
    </row>
    <row r="95" spans="1:17">
      <c r="A95" t="s">
        <v>1186</v>
      </c>
      <c r="B95" s="26">
        <v>43710</v>
      </c>
      <c r="C95" s="26">
        <v>43710</v>
      </c>
      <c r="D95" t="s">
        <v>939</v>
      </c>
      <c r="E95" s="26"/>
      <c r="G95">
        <v>2019</v>
      </c>
      <c r="H95" t="s">
        <v>1187</v>
      </c>
      <c r="I95" t="s">
        <v>75</v>
      </c>
      <c r="J95" t="s">
        <v>75</v>
      </c>
      <c r="K95">
        <v>401981</v>
      </c>
      <c r="L95" t="s">
        <v>1188</v>
      </c>
      <c r="M95" t="s">
        <v>968</v>
      </c>
      <c r="P95">
        <v>401981</v>
      </c>
      <c r="Q95">
        <v>401981</v>
      </c>
    </row>
    <row r="96" spans="1:17">
      <c r="A96" t="s">
        <v>1189</v>
      </c>
      <c r="B96" s="26">
        <v>42550</v>
      </c>
      <c r="C96" s="26">
        <v>42550</v>
      </c>
      <c r="D96" t="s">
        <v>939</v>
      </c>
      <c r="E96" s="26">
        <v>42550</v>
      </c>
      <c r="G96">
        <v>2016</v>
      </c>
      <c r="H96" t="s">
        <v>1171</v>
      </c>
      <c r="I96" t="s">
        <v>75</v>
      </c>
      <c r="J96" t="s">
        <v>75</v>
      </c>
      <c r="K96" t="s">
        <v>953</v>
      </c>
      <c r="L96" t="s">
        <v>942</v>
      </c>
      <c r="M96" t="s">
        <v>943</v>
      </c>
      <c r="N96" t="s">
        <v>944</v>
      </c>
    </row>
    <row r="97" spans="1:17">
      <c r="A97" t="s">
        <v>1190</v>
      </c>
      <c r="B97" s="26">
        <v>42346</v>
      </c>
      <c r="C97" s="26">
        <v>42346</v>
      </c>
      <c r="D97" t="s">
        <v>939</v>
      </c>
      <c r="E97" s="26">
        <v>42346</v>
      </c>
      <c r="G97">
        <v>2015</v>
      </c>
      <c r="H97" t="s">
        <v>1191</v>
      </c>
      <c r="I97" t="s">
        <v>75</v>
      </c>
      <c r="J97" t="s">
        <v>75</v>
      </c>
      <c r="K97" t="s">
        <v>1192</v>
      </c>
      <c r="L97" t="s">
        <v>942</v>
      </c>
      <c r="M97" t="s">
        <v>943</v>
      </c>
      <c r="N97" t="s">
        <v>944</v>
      </c>
      <c r="O97" t="s">
        <v>1192</v>
      </c>
    </row>
    <row r="98" spans="1:17">
      <c r="A98" t="s">
        <v>1193</v>
      </c>
      <c r="B98" s="26">
        <v>41787</v>
      </c>
      <c r="C98" s="26">
        <v>41787</v>
      </c>
      <c r="D98" t="s">
        <v>939</v>
      </c>
      <c r="E98" s="26">
        <v>41788</v>
      </c>
      <c r="G98">
        <v>2014</v>
      </c>
      <c r="H98" t="s">
        <v>1194</v>
      </c>
      <c r="I98" t="s">
        <v>75</v>
      </c>
      <c r="J98" t="s">
        <v>75</v>
      </c>
      <c r="K98" t="s">
        <v>953</v>
      </c>
      <c r="L98" t="s">
        <v>942</v>
      </c>
      <c r="M98" t="s">
        <v>943</v>
      </c>
      <c r="N98" t="s">
        <v>944</v>
      </c>
    </row>
    <row r="99" spans="1:17">
      <c r="A99" t="s">
        <v>1195</v>
      </c>
      <c r="B99" s="26">
        <v>42549</v>
      </c>
      <c r="C99" s="26">
        <v>42549</v>
      </c>
      <c r="D99" t="s">
        <v>939</v>
      </c>
      <c r="E99" s="26">
        <v>42550</v>
      </c>
      <c r="G99">
        <v>2016</v>
      </c>
      <c r="H99" t="s">
        <v>1196</v>
      </c>
      <c r="I99" t="s">
        <v>75</v>
      </c>
      <c r="J99" t="s">
        <v>75</v>
      </c>
      <c r="K99" t="s">
        <v>953</v>
      </c>
      <c r="L99" t="s">
        <v>942</v>
      </c>
      <c r="M99" t="s">
        <v>943</v>
      </c>
      <c r="N99" t="s">
        <v>944</v>
      </c>
    </row>
    <row r="100" spans="1:17">
      <c r="A100" t="s">
        <v>1197</v>
      </c>
      <c r="B100" s="26">
        <v>41079</v>
      </c>
      <c r="C100" s="26">
        <v>41079</v>
      </c>
      <c r="D100" t="s">
        <v>939</v>
      </c>
      <c r="E100" s="26">
        <v>41075</v>
      </c>
      <c r="G100">
        <v>2012</v>
      </c>
      <c r="H100" t="s">
        <v>1198</v>
      </c>
      <c r="I100" t="s">
        <v>75</v>
      </c>
      <c r="J100" t="s">
        <v>75</v>
      </c>
      <c r="K100">
        <v>115176</v>
      </c>
      <c r="L100" t="s">
        <v>1199</v>
      </c>
      <c r="M100" t="s">
        <v>1200</v>
      </c>
      <c r="N100" t="s">
        <v>1088</v>
      </c>
      <c r="O100">
        <v>115176</v>
      </c>
      <c r="P100">
        <v>115065</v>
      </c>
    </row>
    <row r="101" spans="1:17">
      <c r="A101" t="s">
        <v>1201</v>
      </c>
      <c r="B101" s="26">
        <v>44601</v>
      </c>
      <c r="C101" s="26">
        <v>44601</v>
      </c>
      <c r="D101" t="s">
        <v>939</v>
      </c>
      <c r="E101" s="26"/>
      <c r="G101">
        <v>2022</v>
      </c>
      <c r="H101" t="s">
        <v>1202</v>
      </c>
      <c r="I101" t="s">
        <v>75</v>
      </c>
      <c r="J101" t="s">
        <v>75</v>
      </c>
      <c r="K101" t="s">
        <v>1203</v>
      </c>
      <c r="L101" t="s">
        <v>1204</v>
      </c>
      <c r="M101" t="s">
        <v>1005</v>
      </c>
      <c r="N101" t="s">
        <v>963</v>
      </c>
      <c r="P101" t="s">
        <v>1203</v>
      </c>
      <c r="Q101" t="s">
        <v>1203</v>
      </c>
    </row>
    <row r="102" spans="1:17">
      <c r="A102" t="s">
        <v>1205</v>
      </c>
      <c r="B102" s="26">
        <v>42347</v>
      </c>
      <c r="C102" s="26">
        <v>42347</v>
      </c>
      <c r="D102" t="s">
        <v>1206</v>
      </c>
      <c r="E102" s="26"/>
      <c r="G102">
        <v>2012</v>
      </c>
      <c r="H102" t="s">
        <v>1207</v>
      </c>
      <c r="I102" t="s">
        <v>47</v>
      </c>
      <c r="J102" t="s">
        <v>47</v>
      </c>
      <c r="K102">
        <v>10000000</v>
      </c>
      <c r="L102" t="s">
        <v>1208</v>
      </c>
      <c r="M102" t="s">
        <v>1209</v>
      </c>
      <c r="N102" t="s">
        <v>1210</v>
      </c>
      <c r="Q102">
        <v>10000000</v>
      </c>
    </row>
    <row r="103" spans="1:17">
      <c r="A103" t="s">
        <v>1211</v>
      </c>
      <c r="B103" s="26">
        <v>43802</v>
      </c>
      <c r="C103" s="26">
        <v>43802</v>
      </c>
      <c r="D103" t="s">
        <v>939</v>
      </c>
      <c r="E103" s="26"/>
      <c r="G103">
        <v>2019</v>
      </c>
      <c r="H103" t="s">
        <v>1212</v>
      </c>
      <c r="I103" t="s">
        <v>47</v>
      </c>
      <c r="J103" t="s">
        <v>47</v>
      </c>
      <c r="K103">
        <v>1707167</v>
      </c>
      <c r="L103" t="s">
        <v>1213</v>
      </c>
      <c r="M103" t="s">
        <v>1214</v>
      </c>
      <c r="N103" t="s">
        <v>963</v>
      </c>
      <c r="O103">
        <v>1707167</v>
      </c>
      <c r="P103">
        <v>1707167</v>
      </c>
    </row>
    <row r="104" spans="1:17">
      <c r="A104" t="s">
        <v>1215</v>
      </c>
      <c r="B104" s="26">
        <v>41188</v>
      </c>
      <c r="C104" s="26">
        <v>41188</v>
      </c>
      <c r="D104" t="s">
        <v>939</v>
      </c>
      <c r="E104" s="26"/>
      <c r="G104">
        <v>2012</v>
      </c>
      <c r="H104" t="s">
        <v>1216</v>
      </c>
      <c r="I104" t="s">
        <v>47</v>
      </c>
      <c r="K104">
        <v>3380000</v>
      </c>
      <c r="L104" t="s">
        <v>1217</v>
      </c>
      <c r="M104" t="s">
        <v>1218</v>
      </c>
      <c r="N104" t="s">
        <v>963</v>
      </c>
      <c r="O104">
        <v>3380000</v>
      </c>
      <c r="Q104">
        <v>3760000</v>
      </c>
    </row>
    <row r="105" spans="1:17">
      <c r="A105" t="s">
        <v>1219</v>
      </c>
      <c r="B105" s="26">
        <v>41521</v>
      </c>
      <c r="C105" s="26">
        <v>42320</v>
      </c>
      <c r="D105" t="s">
        <v>939</v>
      </c>
      <c r="E105" s="26"/>
      <c r="G105">
        <v>2013</v>
      </c>
      <c r="H105" t="s">
        <v>1220</v>
      </c>
      <c r="I105" t="s">
        <v>47</v>
      </c>
      <c r="J105" t="s">
        <v>47</v>
      </c>
      <c r="K105">
        <v>7500000</v>
      </c>
      <c r="L105" t="s">
        <v>1221</v>
      </c>
      <c r="M105" t="s">
        <v>1222</v>
      </c>
      <c r="N105" t="s">
        <v>963</v>
      </c>
      <c r="O105">
        <v>7500000</v>
      </c>
      <c r="P105">
        <v>7650000</v>
      </c>
    </row>
    <row r="106" spans="1:17">
      <c r="A106" t="s">
        <v>1219</v>
      </c>
      <c r="B106" s="26">
        <v>41521</v>
      </c>
      <c r="C106" s="26">
        <v>42320</v>
      </c>
      <c r="D106" t="s">
        <v>939</v>
      </c>
      <c r="E106" s="26"/>
      <c r="G106">
        <v>2013</v>
      </c>
      <c r="H106" t="s">
        <v>1220</v>
      </c>
      <c r="I106" t="s">
        <v>47</v>
      </c>
      <c r="J106" t="s">
        <v>47</v>
      </c>
      <c r="K106">
        <v>7500000</v>
      </c>
      <c r="L106" t="s">
        <v>1223</v>
      </c>
      <c r="M106" t="s">
        <v>1222</v>
      </c>
      <c r="N106" t="s">
        <v>963</v>
      </c>
      <c r="O106">
        <v>7500000</v>
      </c>
      <c r="P106">
        <v>7650000</v>
      </c>
    </row>
    <row r="107" spans="1:17">
      <c r="A107" t="s">
        <v>1219</v>
      </c>
      <c r="B107" s="26">
        <v>41521</v>
      </c>
      <c r="C107" s="26">
        <v>42320</v>
      </c>
      <c r="D107" t="s">
        <v>939</v>
      </c>
      <c r="E107" s="26"/>
      <c r="G107">
        <v>2013</v>
      </c>
      <c r="H107" t="s">
        <v>1220</v>
      </c>
      <c r="I107" t="s">
        <v>47</v>
      </c>
      <c r="J107" t="s">
        <v>47</v>
      </c>
      <c r="K107">
        <v>6100000</v>
      </c>
      <c r="L107" t="s">
        <v>1224</v>
      </c>
      <c r="M107" t="s">
        <v>1222</v>
      </c>
      <c r="N107" t="s">
        <v>963</v>
      </c>
      <c r="O107">
        <v>6100000</v>
      </c>
      <c r="P107">
        <v>7650000</v>
      </c>
    </row>
    <row r="108" spans="1:17">
      <c r="A108" t="s">
        <v>1219</v>
      </c>
      <c r="B108" s="26">
        <v>41521</v>
      </c>
      <c r="C108" s="26">
        <v>42320</v>
      </c>
      <c r="D108" t="s">
        <v>939</v>
      </c>
      <c r="E108" s="26"/>
      <c r="G108">
        <v>2013</v>
      </c>
      <c r="H108" t="s">
        <v>1220</v>
      </c>
      <c r="I108" t="s">
        <v>47</v>
      </c>
      <c r="J108" t="s">
        <v>47</v>
      </c>
      <c r="K108">
        <v>750000</v>
      </c>
      <c r="L108" t="s">
        <v>1223</v>
      </c>
      <c r="M108" t="s">
        <v>1222</v>
      </c>
      <c r="N108" t="s">
        <v>963</v>
      </c>
      <c r="O108">
        <v>750000</v>
      </c>
      <c r="P108">
        <v>7650000</v>
      </c>
    </row>
    <row r="109" spans="1:17">
      <c r="A109" t="s">
        <v>1219</v>
      </c>
      <c r="B109" s="26">
        <v>41521</v>
      </c>
      <c r="C109" s="26">
        <v>42320</v>
      </c>
      <c r="D109" t="s">
        <v>939</v>
      </c>
      <c r="E109" s="26"/>
      <c r="G109">
        <v>2013</v>
      </c>
      <c r="H109" t="s">
        <v>1220</v>
      </c>
      <c r="I109" t="s">
        <v>47</v>
      </c>
      <c r="J109" t="s">
        <v>157</v>
      </c>
      <c r="K109">
        <v>18000000</v>
      </c>
      <c r="L109" t="s">
        <v>1225</v>
      </c>
      <c r="M109" t="s">
        <v>1222</v>
      </c>
      <c r="N109" t="s">
        <v>963</v>
      </c>
      <c r="O109">
        <v>18000000</v>
      </c>
      <c r="P109">
        <v>7650000</v>
      </c>
    </row>
    <row r="110" spans="1:17">
      <c r="A110" t="s">
        <v>1219</v>
      </c>
      <c r="B110" s="26">
        <v>41521</v>
      </c>
      <c r="C110" s="26">
        <v>42320</v>
      </c>
      <c r="D110" t="s">
        <v>939</v>
      </c>
      <c r="E110" s="26"/>
      <c r="G110">
        <v>2013</v>
      </c>
      <c r="H110" t="s">
        <v>1220</v>
      </c>
      <c r="I110" t="s">
        <v>47</v>
      </c>
      <c r="J110" t="s">
        <v>61</v>
      </c>
      <c r="K110">
        <v>2999100</v>
      </c>
      <c r="L110" t="s">
        <v>1226</v>
      </c>
      <c r="M110" t="s">
        <v>1222</v>
      </c>
      <c r="N110" t="s">
        <v>963</v>
      </c>
      <c r="O110">
        <v>2999100</v>
      </c>
      <c r="P110">
        <v>7650000</v>
      </c>
    </row>
    <row r="111" spans="1:17">
      <c r="A111" t="s">
        <v>1227</v>
      </c>
      <c r="B111" s="26">
        <v>43560</v>
      </c>
      <c r="C111" s="26">
        <v>43560</v>
      </c>
      <c r="D111" t="s">
        <v>939</v>
      </c>
      <c r="E111" s="26"/>
      <c r="G111">
        <v>2019</v>
      </c>
      <c r="H111" t="s">
        <v>1228</v>
      </c>
      <c r="I111" t="s">
        <v>1229</v>
      </c>
      <c r="J111" t="s">
        <v>69</v>
      </c>
      <c r="K111">
        <v>904167</v>
      </c>
      <c r="L111" t="s">
        <v>788</v>
      </c>
      <c r="M111" t="s">
        <v>1230</v>
      </c>
      <c r="N111" t="s">
        <v>944</v>
      </c>
      <c r="P111">
        <v>904167</v>
      </c>
    </row>
    <row r="112" spans="1:17">
      <c r="A112" t="s">
        <v>1231</v>
      </c>
      <c r="B112" s="26">
        <v>41480</v>
      </c>
      <c r="C112" s="26">
        <v>41480</v>
      </c>
      <c r="D112" t="s">
        <v>1206</v>
      </c>
      <c r="E112" s="26"/>
      <c r="G112">
        <v>2013</v>
      </c>
      <c r="H112" t="s">
        <v>1232</v>
      </c>
      <c r="I112" t="s">
        <v>39</v>
      </c>
      <c r="J112" t="s">
        <v>39</v>
      </c>
      <c r="K112">
        <v>1008403</v>
      </c>
      <c r="L112" t="s">
        <v>1233</v>
      </c>
      <c r="M112" t="s">
        <v>1234</v>
      </c>
      <c r="N112" t="s">
        <v>963</v>
      </c>
      <c r="P112">
        <v>1008403</v>
      </c>
      <c r="Q112">
        <v>1008403</v>
      </c>
    </row>
    <row r="113" spans="1:17">
      <c r="A113" t="s">
        <v>1235</v>
      </c>
      <c r="B113" s="26">
        <v>41804</v>
      </c>
      <c r="C113" s="26">
        <v>41804</v>
      </c>
      <c r="D113" t="s">
        <v>1206</v>
      </c>
      <c r="E113" s="26"/>
      <c r="G113">
        <v>2014</v>
      </c>
      <c r="H113" t="s">
        <v>1236</v>
      </c>
      <c r="I113" t="s">
        <v>39</v>
      </c>
      <c r="J113" t="s">
        <v>39</v>
      </c>
      <c r="K113">
        <v>1092437</v>
      </c>
      <c r="L113" t="s">
        <v>1233</v>
      </c>
      <c r="M113" t="s">
        <v>1234</v>
      </c>
      <c r="N113" t="s">
        <v>963</v>
      </c>
      <c r="P113">
        <v>1092437</v>
      </c>
      <c r="Q113">
        <v>1092437</v>
      </c>
    </row>
    <row r="114" spans="1:17">
      <c r="A114" t="s">
        <v>1235</v>
      </c>
      <c r="B114" s="26">
        <v>41804</v>
      </c>
      <c r="C114" s="26">
        <v>41804</v>
      </c>
      <c r="D114" t="s">
        <v>1206</v>
      </c>
      <c r="E114" s="26"/>
      <c r="G114">
        <v>2014</v>
      </c>
      <c r="H114" t="s">
        <v>1236</v>
      </c>
      <c r="I114" t="s">
        <v>39</v>
      </c>
      <c r="J114" t="s">
        <v>39</v>
      </c>
      <c r="K114">
        <v>1092437</v>
      </c>
      <c r="L114" t="s">
        <v>1233</v>
      </c>
      <c r="M114" t="s">
        <v>1234</v>
      </c>
      <c r="N114" t="s">
        <v>963</v>
      </c>
      <c r="P114">
        <v>1092437</v>
      </c>
      <c r="Q114">
        <v>1092437</v>
      </c>
    </row>
    <row r="115" spans="1:17">
      <c r="A115" t="s">
        <v>1237</v>
      </c>
      <c r="B115" s="26">
        <v>41718</v>
      </c>
      <c r="C115" s="26">
        <v>41718</v>
      </c>
      <c r="D115" t="s">
        <v>1206</v>
      </c>
      <c r="E115" s="26"/>
      <c r="G115">
        <v>2014</v>
      </c>
      <c r="H115" t="s">
        <v>1236</v>
      </c>
      <c r="I115" t="s">
        <v>39</v>
      </c>
      <c r="J115" t="s">
        <v>39</v>
      </c>
      <c r="K115">
        <v>42017</v>
      </c>
      <c r="L115" t="s">
        <v>1238</v>
      </c>
      <c r="M115" t="s">
        <v>1234</v>
      </c>
      <c r="N115" t="s">
        <v>963</v>
      </c>
      <c r="P115">
        <v>42017</v>
      </c>
      <c r="Q115">
        <v>42017</v>
      </c>
    </row>
    <row r="116" spans="1:17">
      <c r="A116" t="s">
        <v>1239</v>
      </c>
      <c r="B116" s="26">
        <v>41444</v>
      </c>
      <c r="C116" s="26">
        <v>41444</v>
      </c>
      <c r="D116" t="s">
        <v>1206</v>
      </c>
      <c r="E116" s="26"/>
      <c r="G116">
        <v>2013</v>
      </c>
      <c r="H116" t="s">
        <v>1232</v>
      </c>
      <c r="I116" t="s">
        <v>39</v>
      </c>
      <c r="J116" t="s">
        <v>65</v>
      </c>
      <c r="K116">
        <v>504202</v>
      </c>
      <c r="L116" t="s">
        <v>1240</v>
      </c>
      <c r="M116" t="s">
        <v>1234</v>
      </c>
      <c r="N116" t="s">
        <v>963</v>
      </c>
      <c r="P116">
        <v>504202</v>
      </c>
      <c r="Q116">
        <v>504202</v>
      </c>
    </row>
    <row r="117" spans="1:17">
      <c r="A117" t="s">
        <v>1241</v>
      </c>
      <c r="B117" s="26">
        <v>40977</v>
      </c>
      <c r="C117" s="26">
        <v>40977</v>
      </c>
      <c r="D117" t="s">
        <v>1206</v>
      </c>
      <c r="E117" s="26"/>
      <c r="G117">
        <v>2012</v>
      </c>
      <c r="H117" t="s">
        <v>1242</v>
      </c>
      <c r="I117" t="s">
        <v>39</v>
      </c>
      <c r="J117" t="s">
        <v>39</v>
      </c>
      <c r="K117">
        <v>1344538</v>
      </c>
      <c r="L117" t="s">
        <v>1243</v>
      </c>
      <c r="M117" t="s">
        <v>1244</v>
      </c>
      <c r="N117" t="s">
        <v>963</v>
      </c>
      <c r="P117">
        <v>1344538</v>
      </c>
      <c r="Q117">
        <v>1344538</v>
      </c>
    </row>
    <row r="118" spans="1:17">
      <c r="A118" t="s">
        <v>1245</v>
      </c>
      <c r="B118" s="26">
        <v>41424</v>
      </c>
      <c r="C118" s="26">
        <v>41424</v>
      </c>
      <c r="D118" t="s">
        <v>1206</v>
      </c>
      <c r="E118" s="26"/>
      <c r="G118">
        <v>2013</v>
      </c>
      <c r="H118" t="s">
        <v>1232</v>
      </c>
      <c r="I118" t="s">
        <v>39</v>
      </c>
      <c r="J118" t="s">
        <v>39</v>
      </c>
      <c r="K118">
        <v>42017</v>
      </c>
      <c r="L118" t="s">
        <v>1246</v>
      </c>
      <c r="M118" t="s">
        <v>1234</v>
      </c>
      <c r="N118" t="s">
        <v>963</v>
      </c>
      <c r="P118">
        <v>42017</v>
      </c>
      <c r="Q118">
        <v>42017</v>
      </c>
    </row>
    <row r="119" spans="1:17">
      <c r="A119" t="s">
        <v>1247</v>
      </c>
      <c r="B119" s="26">
        <v>41444</v>
      </c>
      <c r="C119" s="26">
        <v>41444</v>
      </c>
      <c r="D119" t="s">
        <v>1206</v>
      </c>
      <c r="E119" s="26"/>
      <c r="G119">
        <v>2013</v>
      </c>
      <c r="H119" t="s">
        <v>1232</v>
      </c>
      <c r="I119" t="s">
        <v>39</v>
      </c>
      <c r="J119" t="s">
        <v>39</v>
      </c>
      <c r="K119">
        <v>2941176</v>
      </c>
      <c r="L119" t="s">
        <v>1248</v>
      </c>
      <c r="M119" t="s">
        <v>1234</v>
      </c>
      <c r="N119" t="s">
        <v>963</v>
      </c>
      <c r="P119">
        <v>2941176</v>
      </c>
      <c r="Q119">
        <v>2941176</v>
      </c>
    </row>
    <row r="120" spans="1:17">
      <c r="A120" t="s">
        <v>1249</v>
      </c>
      <c r="B120" s="26">
        <v>41076</v>
      </c>
      <c r="C120" s="26">
        <v>41076</v>
      </c>
      <c r="D120" t="s">
        <v>939</v>
      </c>
      <c r="E120" s="26"/>
      <c r="G120">
        <v>2012</v>
      </c>
      <c r="H120" t="s">
        <v>1250</v>
      </c>
      <c r="I120" t="s">
        <v>39</v>
      </c>
      <c r="J120" t="s">
        <v>39</v>
      </c>
      <c r="K120">
        <v>275969</v>
      </c>
      <c r="L120" t="s">
        <v>1251</v>
      </c>
      <c r="M120" t="s">
        <v>1244</v>
      </c>
      <c r="N120" t="s">
        <v>963</v>
      </c>
      <c r="O120">
        <v>275969</v>
      </c>
      <c r="P120">
        <v>275969</v>
      </c>
    </row>
    <row r="121" spans="1:17">
      <c r="A121" t="s">
        <v>1252</v>
      </c>
      <c r="B121" s="26">
        <v>41907</v>
      </c>
      <c r="C121" s="26">
        <v>41907</v>
      </c>
      <c r="D121" t="s">
        <v>1206</v>
      </c>
      <c r="E121" s="26"/>
      <c r="G121">
        <v>2014</v>
      </c>
      <c r="H121" t="s">
        <v>1236</v>
      </c>
      <c r="I121" t="s">
        <v>39</v>
      </c>
      <c r="J121" t="s">
        <v>39</v>
      </c>
      <c r="K121">
        <v>84034</v>
      </c>
      <c r="L121" t="s">
        <v>1253</v>
      </c>
      <c r="M121" t="s">
        <v>1234</v>
      </c>
      <c r="N121" t="s">
        <v>963</v>
      </c>
      <c r="P121">
        <v>84034</v>
      </c>
      <c r="Q121">
        <v>84034</v>
      </c>
    </row>
    <row r="122" spans="1:17">
      <c r="A122" t="s">
        <v>1254</v>
      </c>
      <c r="B122" s="26">
        <v>41065</v>
      </c>
      <c r="C122" s="26">
        <v>41065</v>
      </c>
      <c r="D122" t="s">
        <v>1206</v>
      </c>
      <c r="E122" s="26"/>
      <c r="G122">
        <v>2012</v>
      </c>
      <c r="H122" t="s">
        <v>1242</v>
      </c>
      <c r="I122" t="s">
        <v>39</v>
      </c>
      <c r="J122" t="s">
        <v>39</v>
      </c>
      <c r="K122">
        <v>2941176</v>
      </c>
      <c r="L122" t="s">
        <v>1255</v>
      </c>
      <c r="M122" t="s">
        <v>1244</v>
      </c>
      <c r="N122" t="s">
        <v>963</v>
      </c>
      <c r="P122">
        <v>2941176</v>
      </c>
      <c r="Q122">
        <v>2941176</v>
      </c>
    </row>
    <row r="123" spans="1:17">
      <c r="A123" t="s">
        <v>1256</v>
      </c>
      <c r="B123" s="26">
        <v>41101</v>
      </c>
      <c r="C123" s="26">
        <v>41101</v>
      </c>
      <c r="D123" t="s">
        <v>1206</v>
      </c>
      <c r="E123" s="26"/>
      <c r="G123">
        <v>2012</v>
      </c>
      <c r="H123" t="s">
        <v>1257</v>
      </c>
      <c r="I123" t="s">
        <v>39</v>
      </c>
      <c r="J123" t="s">
        <v>39</v>
      </c>
      <c r="K123">
        <v>117647</v>
      </c>
      <c r="L123" t="s">
        <v>1258</v>
      </c>
      <c r="M123" t="s">
        <v>1244</v>
      </c>
      <c r="N123" t="s">
        <v>963</v>
      </c>
      <c r="P123">
        <v>117647</v>
      </c>
      <c r="Q123">
        <v>117647</v>
      </c>
    </row>
    <row r="124" spans="1:17">
      <c r="A124" t="s">
        <v>1259</v>
      </c>
      <c r="B124" s="26">
        <v>41480</v>
      </c>
      <c r="C124" s="26">
        <v>41480</v>
      </c>
      <c r="D124" t="s">
        <v>1206</v>
      </c>
      <c r="E124" s="26"/>
      <c r="G124">
        <v>2013</v>
      </c>
      <c r="H124" t="s">
        <v>1232</v>
      </c>
      <c r="I124" t="s">
        <v>39</v>
      </c>
      <c r="J124" t="s">
        <v>39</v>
      </c>
      <c r="K124">
        <v>840336</v>
      </c>
      <c r="L124" t="s">
        <v>1238</v>
      </c>
      <c r="M124" t="s">
        <v>1234</v>
      </c>
      <c r="N124" t="s">
        <v>963</v>
      </c>
      <c r="P124">
        <v>840336</v>
      </c>
      <c r="Q124">
        <v>840336</v>
      </c>
    </row>
    <row r="125" spans="1:17">
      <c r="A125" t="s">
        <v>1260</v>
      </c>
      <c r="B125" s="26">
        <v>43029</v>
      </c>
      <c r="C125" s="26">
        <v>43029</v>
      </c>
      <c r="D125" t="s">
        <v>939</v>
      </c>
      <c r="E125" s="26"/>
      <c r="G125">
        <v>2017</v>
      </c>
      <c r="H125" t="s">
        <v>1261</v>
      </c>
      <c r="I125" t="s">
        <v>39</v>
      </c>
      <c r="J125" t="s">
        <v>39</v>
      </c>
      <c r="K125" t="s">
        <v>953</v>
      </c>
      <c r="L125" t="s">
        <v>1262</v>
      </c>
      <c r="M125" t="s">
        <v>1234</v>
      </c>
      <c r="N125" t="s">
        <v>963</v>
      </c>
    </row>
    <row r="126" spans="1:17">
      <c r="A126" t="s">
        <v>1263</v>
      </c>
      <c r="B126" s="26">
        <v>41074</v>
      </c>
      <c r="C126" s="26">
        <v>41074</v>
      </c>
      <c r="D126" t="s">
        <v>1206</v>
      </c>
      <c r="E126" s="26"/>
      <c r="G126">
        <v>2012</v>
      </c>
      <c r="H126" t="s">
        <v>1242</v>
      </c>
      <c r="I126" t="s">
        <v>39</v>
      </c>
      <c r="J126" t="s">
        <v>39</v>
      </c>
      <c r="K126">
        <v>252101</v>
      </c>
      <c r="L126" t="s">
        <v>1264</v>
      </c>
      <c r="M126" t="s">
        <v>1244</v>
      </c>
      <c r="N126" t="s">
        <v>963</v>
      </c>
      <c r="P126">
        <v>252101</v>
      </c>
      <c r="Q126">
        <v>252101</v>
      </c>
    </row>
    <row r="127" spans="1:17">
      <c r="A127" t="s">
        <v>1265</v>
      </c>
      <c r="B127" s="26">
        <v>43000</v>
      </c>
      <c r="C127" s="26">
        <v>43000</v>
      </c>
      <c r="D127" t="s">
        <v>939</v>
      </c>
      <c r="E127" s="26"/>
      <c r="G127">
        <v>2017</v>
      </c>
      <c r="H127" t="s">
        <v>1266</v>
      </c>
      <c r="I127" t="s">
        <v>39</v>
      </c>
      <c r="J127" t="s">
        <v>156</v>
      </c>
      <c r="K127" t="s">
        <v>953</v>
      </c>
      <c r="L127" t="s">
        <v>1267</v>
      </c>
      <c r="M127" t="s">
        <v>1234</v>
      </c>
      <c r="N127" t="s">
        <v>963</v>
      </c>
    </row>
    <row r="128" spans="1:17">
      <c r="A128" t="s">
        <v>1268</v>
      </c>
      <c r="B128" s="26">
        <v>41074</v>
      </c>
      <c r="C128" s="26">
        <v>41074</v>
      </c>
      <c r="D128" t="s">
        <v>1206</v>
      </c>
      <c r="E128" s="26"/>
      <c r="G128">
        <v>2012</v>
      </c>
      <c r="H128" t="s">
        <v>1269</v>
      </c>
      <c r="I128" t="s">
        <v>39</v>
      </c>
      <c r="J128" t="s">
        <v>39</v>
      </c>
      <c r="K128">
        <v>210084</v>
      </c>
      <c r="L128" t="s">
        <v>1270</v>
      </c>
      <c r="M128" t="s">
        <v>1244</v>
      </c>
      <c r="N128" t="s">
        <v>963</v>
      </c>
      <c r="P128">
        <v>210084</v>
      </c>
      <c r="Q128">
        <v>210084</v>
      </c>
    </row>
    <row r="129" spans="1:17">
      <c r="A129" t="s">
        <v>1271</v>
      </c>
      <c r="B129" s="26">
        <v>41076</v>
      </c>
      <c r="C129" s="26">
        <v>41076</v>
      </c>
      <c r="D129" t="s">
        <v>939</v>
      </c>
      <c r="E129" s="26"/>
      <c r="G129">
        <v>2012</v>
      </c>
      <c r="H129" t="s">
        <v>1272</v>
      </c>
      <c r="I129" t="s">
        <v>39</v>
      </c>
      <c r="J129" t="s">
        <v>39</v>
      </c>
      <c r="K129" t="s">
        <v>953</v>
      </c>
      <c r="L129" t="s">
        <v>1251</v>
      </c>
      <c r="M129" t="s">
        <v>1244</v>
      </c>
      <c r="N129" t="s">
        <v>963</v>
      </c>
    </row>
    <row r="130" spans="1:17">
      <c r="A130" t="s">
        <v>1273</v>
      </c>
      <c r="B130" s="26">
        <v>41018</v>
      </c>
      <c r="C130" s="26">
        <v>41018</v>
      </c>
      <c r="D130" t="s">
        <v>1206</v>
      </c>
      <c r="E130" s="26"/>
      <c r="G130">
        <v>2012</v>
      </c>
      <c r="H130" t="s">
        <v>1269</v>
      </c>
      <c r="I130" t="s">
        <v>39</v>
      </c>
      <c r="J130" t="s">
        <v>39</v>
      </c>
      <c r="K130">
        <v>1134454</v>
      </c>
      <c r="L130" t="s">
        <v>1274</v>
      </c>
      <c r="M130" t="s">
        <v>1244</v>
      </c>
      <c r="N130" t="s">
        <v>963</v>
      </c>
      <c r="P130">
        <v>1134454</v>
      </c>
      <c r="Q130">
        <v>1134454</v>
      </c>
    </row>
    <row r="131" spans="1:17">
      <c r="A131" t="s">
        <v>1275</v>
      </c>
      <c r="B131" s="26">
        <v>41731</v>
      </c>
      <c r="C131" s="26">
        <v>41731</v>
      </c>
      <c r="D131" t="s">
        <v>1206</v>
      </c>
      <c r="E131" s="26"/>
      <c r="G131">
        <v>2014</v>
      </c>
      <c r="H131" t="s">
        <v>1236</v>
      </c>
      <c r="I131" t="s">
        <v>39</v>
      </c>
      <c r="J131" t="s">
        <v>39</v>
      </c>
      <c r="K131">
        <v>105042</v>
      </c>
      <c r="L131" t="s">
        <v>1276</v>
      </c>
      <c r="M131" t="s">
        <v>1234</v>
      </c>
      <c r="N131" t="s">
        <v>963</v>
      </c>
      <c r="P131">
        <v>105042</v>
      </c>
      <c r="Q131">
        <v>105042</v>
      </c>
    </row>
    <row r="132" spans="1:17">
      <c r="A132" t="s">
        <v>1277</v>
      </c>
      <c r="B132" s="26">
        <v>41424</v>
      </c>
      <c r="C132" s="26">
        <v>41424</v>
      </c>
      <c r="D132" t="s">
        <v>1206</v>
      </c>
      <c r="E132" s="26"/>
      <c r="G132">
        <v>2013</v>
      </c>
      <c r="H132" t="s">
        <v>1232</v>
      </c>
      <c r="I132" t="s">
        <v>39</v>
      </c>
      <c r="J132" t="s">
        <v>39</v>
      </c>
      <c r="K132">
        <v>420168</v>
      </c>
      <c r="L132" t="s">
        <v>1278</v>
      </c>
      <c r="M132" t="s">
        <v>1234</v>
      </c>
      <c r="N132" t="s">
        <v>963</v>
      </c>
      <c r="P132">
        <v>420168</v>
      </c>
      <c r="Q132">
        <v>420168</v>
      </c>
    </row>
    <row r="133" spans="1:17">
      <c r="A133" t="s">
        <v>1279</v>
      </c>
      <c r="B133" s="26">
        <v>41731</v>
      </c>
      <c r="C133" s="26">
        <v>41731</v>
      </c>
      <c r="D133" t="s">
        <v>1206</v>
      </c>
      <c r="E133" s="26"/>
      <c r="G133">
        <v>2014</v>
      </c>
      <c r="H133" t="s">
        <v>1236</v>
      </c>
      <c r="I133" t="s">
        <v>39</v>
      </c>
      <c r="J133" t="s">
        <v>39</v>
      </c>
      <c r="K133">
        <v>210084</v>
      </c>
      <c r="L133" t="s">
        <v>1276</v>
      </c>
      <c r="M133" t="s">
        <v>1234</v>
      </c>
      <c r="N133" t="s">
        <v>963</v>
      </c>
      <c r="P133">
        <v>210084</v>
      </c>
      <c r="Q133">
        <v>210084</v>
      </c>
    </row>
    <row r="134" spans="1:17">
      <c r="A134" t="s">
        <v>1280</v>
      </c>
      <c r="B134" s="26">
        <v>41100</v>
      </c>
      <c r="C134" s="26">
        <v>41100</v>
      </c>
      <c r="D134" t="s">
        <v>1206</v>
      </c>
      <c r="E134" s="26"/>
      <c r="G134">
        <v>2012</v>
      </c>
      <c r="H134" t="s">
        <v>1281</v>
      </c>
      <c r="I134" t="s">
        <v>39</v>
      </c>
      <c r="J134" t="s">
        <v>39</v>
      </c>
      <c r="K134">
        <v>210084</v>
      </c>
      <c r="L134" t="s">
        <v>1282</v>
      </c>
      <c r="M134" t="s">
        <v>1244</v>
      </c>
      <c r="N134" t="s">
        <v>963</v>
      </c>
      <c r="P134">
        <v>210084</v>
      </c>
      <c r="Q134">
        <v>210084</v>
      </c>
    </row>
    <row r="135" spans="1:17">
      <c r="A135" t="s">
        <v>1283</v>
      </c>
      <c r="B135" s="26">
        <v>41718</v>
      </c>
      <c r="C135" s="26">
        <v>41718</v>
      </c>
      <c r="D135" t="s">
        <v>1206</v>
      </c>
      <c r="E135" s="26"/>
      <c r="G135">
        <v>2014</v>
      </c>
      <c r="H135" t="s">
        <v>1236</v>
      </c>
      <c r="I135" t="s">
        <v>39</v>
      </c>
      <c r="J135" t="s">
        <v>39</v>
      </c>
      <c r="K135">
        <v>42017</v>
      </c>
      <c r="L135" t="s">
        <v>1284</v>
      </c>
      <c r="M135" t="s">
        <v>1234</v>
      </c>
      <c r="N135" t="s">
        <v>963</v>
      </c>
      <c r="P135">
        <v>42017</v>
      </c>
      <c r="Q135">
        <v>42017</v>
      </c>
    </row>
    <row r="136" spans="1:17">
      <c r="A136" t="s">
        <v>1285</v>
      </c>
      <c r="B136" s="26">
        <v>41018</v>
      </c>
      <c r="C136" s="26">
        <v>41018</v>
      </c>
      <c r="D136" t="s">
        <v>1206</v>
      </c>
      <c r="E136" s="26"/>
      <c r="G136">
        <v>2012</v>
      </c>
      <c r="H136" t="s">
        <v>1269</v>
      </c>
      <c r="I136" t="s">
        <v>39</v>
      </c>
      <c r="J136" t="s">
        <v>39</v>
      </c>
      <c r="K136">
        <v>1848739</v>
      </c>
      <c r="L136" t="s">
        <v>1238</v>
      </c>
      <c r="M136" t="s">
        <v>1244</v>
      </c>
      <c r="N136" t="s">
        <v>963</v>
      </c>
      <c r="P136">
        <v>1848739</v>
      </c>
      <c r="Q136">
        <v>1848739</v>
      </c>
    </row>
    <row r="137" spans="1:17">
      <c r="A137" t="s">
        <v>1286</v>
      </c>
      <c r="B137" s="26">
        <v>42119</v>
      </c>
      <c r="C137" s="26">
        <v>42119</v>
      </c>
      <c r="D137" t="s">
        <v>939</v>
      </c>
      <c r="E137" s="26"/>
      <c r="G137">
        <v>2015</v>
      </c>
      <c r="H137" t="s">
        <v>1287</v>
      </c>
      <c r="I137" t="s">
        <v>39</v>
      </c>
      <c r="J137" t="s">
        <v>39</v>
      </c>
      <c r="K137">
        <v>970466</v>
      </c>
      <c r="L137" t="s">
        <v>1251</v>
      </c>
      <c r="M137" t="s">
        <v>1234</v>
      </c>
      <c r="N137" t="s">
        <v>963</v>
      </c>
      <c r="O137">
        <v>970466</v>
      </c>
      <c r="P137">
        <v>970466</v>
      </c>
    </row>
    <row r="138" spans="1:17">
      <c r="A138" t="s">
        <v>1288</v>
      </c>
      <c r="B138" s="26">
        <v>42838</v>
      </c>
      <c r="C138" s="26">
        <v>42838</v>
      </c>
      <c r="D138" t="s">
        <v>939</v>
      </c>
      <c r="E138" s="26"/>
      <c r="G138">
        <v>2017</v>
      </c>
      <c r="H138" t="s">
        <v>1289</v>
      </c>
      <c r="I138" t="s">
        <v>157</v>
      </c>
      <c r="J138" t="s">
        <v>157</v>
      </c>
      <c r="K138">
        <v>49550</v>
      </c>
      <c r="L138" t="s">
        <v>1290</v>
      </c>
      <c r="M138" t="s">
        <v>1291</v>
      </c>
      <c r="O138">
        <v>49550</v>
      </c>
    </row>
    <row r="139" spans="1:17">
      <c r="A139" t="s">
        <v>1292</v>
      </c>
      <c r="B139" s="26">
        <v>42719</v>
      </c>
      <c r="C139" s="26">
        <v>42719</v>
      </c>
      <c r="D139" t="s">
        <v>939</v>
      </c>
      <c r="E139" s="26"/>
      <c r="G139">
        <v>2016</v>
      </c>
      <c r="H139" t="s">
        <v>1293</v>
      </c>
      <c r="I139" t="s">
        <v>1294</v>
      </c>
      <c r="J139" t="s">
        <v>113</v>
      </c>
      <c r="K139" t="s">
        <v>1295</v>
      </c>
      <c r="L139" t="s">
        <v>1296</v>
      </c>
      <c r="M139" t="s">
        <v>1297</v>
      </c>
      <c r="N139" t="s">
        <v>1210</v>
      </c>
      <c r="O139" t="s">
        <v>1295</v>
      </c>
      <c r="P139" t="s">
        <v>1295</v>
      </c>
    </row>
    <row r="140" spans="1:17">
      <c r="A140" t="s">
        <v>1298</v>
      </c>
      <c r="B140" s="26">
        <v>44545</v>
      </c>
      <c r="C140" s="26">
        <v>44545</v>
      </c>
      <c r="D140" t="s">
        <v>1206</v>
      </c>
      <c r="E140" s="26"/>
      <c r="G140">
        <v>2021</v>
      </c>
      <c r="H140" t="s">
        <v>1299</v>
      </c>
      <c r="I140" t="s">
        <v>1300</v>
      </c>
      <c r="J140" t="s">
        <v>1300</v>
      </c>
      <c r="K140" t="s">
        <v>1301</v>
      </c>
      <c r="L140" t="s">
        <v>1302</v>
      </c>
      <c r="M140" t="s">
        <v>1303</v>
      </c>
      <c r="N140" t="s">
        <v>963</v>
      </c>
      <c r="P140" t="s">
        <v>1301</v>
      </c>
      <c r="Q140" t="s">
        <v>1304</v>
      </c>
    </row>
    <row r="141" spans="1:17">
      <c r="A141" t="s">
        <v>1305</v>
      </c>
      <c r="B141" s="26">
        <v>43284</v>
      </c>
      <c r="C141" s="26">
        <v>43284</v>
      </c>
      <c r="D141" t="s">
        <v>1206</v>
      </c>
      <c r="E141" s="26"/>
      <c r="G141">
        <v>2017</v>
      </c>
      <c r="H141" t="s">
        <v>1306</v>
      </c>
      <c r="I141" t="s">
        <v>80</v>
      </c>
      <c r="J141" t="s">
        <v>640</v>
      </c>
      <c r="K141" t="s">
        <v>1307</v>
      </c>
      <c r="L141" t="s">
        <v>1308</v>
      </c>
      <c r="M141" t="s">
        <v>1309</v>
      </c>
      <c r="N141" t="s">
        <v>1310</v>
      </c>
      <c r="P141" t="s">
        <v>1307</v>
      </c>
      <c r="Q141">
        <v>2769106</v>
      </c>
    </row>
    <row r="142" spans="1:17">
      <c r="A142" t="s">
        <v>1305</v>
      </c>
      <c r="B142" s="26">
        <v>43284</v>
      </c>
      <c r="C142" s="26">
        <v>43284</v>
      </c>
      <c r="D142" t="s">
        <v>1206</v>
      </c>
      <c r="E142" s="26"/>
      <c r="G142">
        <v>2017</v>
      </c>
      <c r="H142" t="s">
        <v>1306</v>
      </c>
      <c r="I142" t="s">
        <v>80</v>
      </c>
      <c r="J142" t="s">
        <v>80</v>
      </c>
      <c r="K142" t="s">
        <v>1307</v>
      </c>
      <c r="L142" t="s">
        <v>1311</v>
      </c>
      <c r="M142" t="s">
        <v>1309</v>
      </c>
      <c r="N142" t="s">
        <v>1310</v>
      </c>
      <c r="P142" t="s">
        <v>1307</v>
      </c>
      <c r="Q142">
        <v>2769106</v>
      </c>
    </row>
    <row r="143" spans="1:17">
      <c r="A143" t="s">
        <v>1305</v>
      </c>
      <c r="B143" s="26">
        <v>43284</v>
      </c>
      <c r="C143" s="26">
        <v>43284</v>
      </c>
      <c r="D143" t="s">
        <v>1206</v>
      </c>
      <c r="E143" s="26"/>
      <c r="G143">
        <v>2017</v>
      </c>
      <c r="H143" t="s">
        <v>1306</v>
      </c>
      <c r="I143" t="s">
        <v>80</v>
      </c>
      <c r="J143" t="s">
        <v>640</v>
      </c>
      <c r="K143" t="s">
        <v>1307</v>
      </c>
      <c r="L143" t="s">
        <v>1308</v>
      </c>
      <c r="M143" t="s">
        <v>1312</v>
      </c>
      <c r="N143" t="s">
        <v>1310</v>
      </c>
      <c r="P143" t="s">
        <v>1307</v>
      </c>
      <c r="Q143">
        <v>2769106</v>
      </c>
    </row>
    <row r="144" spans="1:17">
      <c r="A144" t="s">
        <v>1305</v>
      </c>
      <c r="B144" s="26">
        <v>43284</v>
      </c>
      <c r="C144" s="26">
        <v>43284</v>
      </c>
      <c r="D144" t="s">
        <v>1206</v>
      </c>
      <c r="E144" s="26"/>
      <c r="G144">
        <v>2017</v>
      </c>
      <c r="H144" t="s">
        <v>1306</v>
      </c>
      <c r="I144" t="s">
        <v>80</v>
      </c>
      <c r="J144" t="s">
        <v>80</v>
      </c>
      <c r="K144" t="s">
        <v>1307</v>
      </c>
      <c r="L144" t="s">
        <v>1311</v>
      </c>
      <c r="M144" t="s">
        <v>1312</v>
      </c>
      <c r="N144" t="s">
        <v>1310</v>
      </c>
      <c r="P144" t="s">
        <v>1307</v>
      </c>
      <c r="Q144">
        <v>2769106</v>
      </c>
    </row>
    <row r="145" spans="1:17">
      <c r="A145" t="s">
        <v>1305</v>
      </c>
      <c r="B145" s="26">
        <v>43284</v>
      </c>
      <c r="C145" s="26">
        <v>43284</v>
      </c>
      <c r="D145" t="s">
        <v>1206</v>
      </c>
      <c r="E145" s="26"/>
      <c r="G145">
        <v>2017</v>
      </c>
      <c r="H145" t="s">
        <v>1306</v>
      </c>
      <c r="I145" t="s">
        <v>80</v>
      </c>
      <c r="J145" t="s">
        <v>640</v>
      </c>
      <c r="K145" t="s">
        <v>1307</v>
      </c>
      <c r="L145" t="s">
        <v>1308</v>
      </c>
      <c r="M145" t="s">
        <v>1313</v>
      </c>
      <c r="N145" t="s">
        <v>1310</v>
      </c>
      <c r="P145" t="s">
        <v>1307</v>
      </c>
      <c r="Q145">
        <v>2769106</v>
      </c>
    </row>
    <row r="146" spans="1:17">
      <c r="A146" t="s">
        <v>1305</v>
      </c>
      <c r="B146" s="26">
        <v>43284</v>
      </c>
      <c r="C146" s="26">
        <v>43284</v>
      </c>
      <c r="D146" t="s">
        <v>1206</v>
      </c>
      <c r="E146" s="26"/>
      <c r="G146">
        <v>2017</v>
      </c>
      <c r="H146" t="s">
        <v>1306</v>
      </c>
      <c r="I146" t="s">
        <v>80</v>
      </c>
      <c r="J146" t="s">
        <v>80</v>
      </c>
      <c r="K146" t="s">
        <v>1307</v>
      </c>
      <c r="L146" t="s">
        <v>1311</v>
      </c>
      <c r="M146" t="s">
        <v>1313</v>
      </c>
      <c r="N146" t="s">
        <v>1310</v>
      </c>
      <c r="P146" t="s">
        <v>1307</v>
      </c>
      <c r="Q146">
        <v>2769106</v>
      </c>
    </row>
    <row r="147" spans="1:17">
      <c r="A147" t="s">
        <v>1305</v>
      </c>
      <c r="B147" s="26">
        <v>43284</v>
      </c>
      <c r="C147" s="26">
        <v>43284</v>
      </c>
      <c r="D147" t="s">
        <v>1206</v>
      </c>
      <c r="E147" s="26"/>
      <c r="G147">
        <v>2017</v>
      </c>
      <c r="H147" t="s">
        <v>1306</v>
      </c>
      <c r="I147" t="s">
        <v>80</v>
      </c>
      <c r="J147" t="s">
        <v>640</v>
      </c>
      <c r="K147" t="s">
        <v>1307</v>
      </c>
      <c r="L147" t="s">
        <v>1308</v>
      </c>
      <c r="M147" t="s">
        <v>1314</v>
      </c>
      <c r="N147" t="s">
        <v>1310</v>
      </c>
      <c r="P147" t="s">
        <v>1307</v>
      </c>
      <c r="Q147">
        <v>2769106</v>
      </c>
    </row>
    <row r="148" spans="1:17">
      <c r="A148" t="s">
        <v>1305</v>
      </c>
      <c r="B148" s="26">
        <v>43284</v>
      </c>
      <c r="C148" s="26">
        <v>43284</v>
      </c>
      <c r="D148" t="s">
        <v>1206</v>
      </c>
      <c r="E148" s="26"/>
      <c r="G148">
        <v>2017</v>
      </c>
      <c r="H148" t="s">
        <v>1306</v>
      </c>
      <c r="I148" t="s">
        <v>80</v>
      </c>
      <c r="J148" t="s">
        <v>80</v>
      </c>
      <c r="K148" t="s">
        <v>1307</v>
      </c>
      <c r="L148" t="s">
        <v>1311</v>
      </c>
      <c r="M148" t="s">
        <v>1314</v>
      </c>
      <c r="N148" t="s">
        <v>1310</v>
      </c>
      <c r="P148" t="s">
        <v>1307</v>
      </c>
      <c r="Q148">
        <v>2769106</v>
      </c>
    </row>
    <row r="149" spans="1:17">
      <c r="A149" t="s">
        <v>1305</v>
      </c>
      <c r="B149" s="26">
        <v>43284</v>
      </c>
      <c r="C149" s="26">
        <v>43284</v>
      </c>
      <c r="D149" t="s">
        <v>1206</v>
      </c>
      <c r="E149" s="26"/>
      <c r="G149">
        <v>2017</v>
      </c>
      <c r="H149" t="s">
        <v>1306</v>
      </c>
      <c r="I149" t="s">
        <v>80</v>
      </c>
      <c r="J149" t="s">
        <v>640</v>
      </c>
      <c r="K149" t="s">
        <v>1307</v>
      </c>
      <c r="L149" t="s">
        <v>1308</v>
      </c>
      <c r="M149" t="s">
        <v>1315</v>
      </c>
      <c r="N149" t="s">
        <v>1310</v>
      </c>
      <c r="P149" t="s">
        <v>1307</v>
      </c>
      <c r="Q149">
        <v>2769106</v>
      </c>
    </row>
    <row r="150" spans="1:17">
      <c r="A150" t="s">
        <v>1305</v>
      </c>
      <c r="B150" s="26">
        <v>43284</v>
      </c>
      <c r="C150" s="26">
        <v>43284</v>
      </c>
      <c r="D150" t="s">
        <v>1206</v>
      </c>
      <c r="E150" s="26"/>
      <c r="G150">
        <v>2017</v>
      </c>
      <c r="H150" t="s">
        <v>1306</v>
      </c>
      <c r="I150" t="s">
        <v>80</v>
      </c>
      <c r="J150" t="s">
        <v>80</v>
      </c>
      <c r="K150" t="s">
        <v>1307</v>
      </c>
      <c r="L150" t="s">
        <v>1311</v>
      </c>
      <c r="M150" t="s">
        <v>1315</v>
      </c>
      <c r="N150" t="s">
        <v>1310</v>
      </c>
      <c r="P150" t="s">
        <v>1307</v>
      </c>
      <c r="Q150">
        <v>2769106</v>
      </c>
    </row>
    <row r="151" spans="1:17">
      <c r="A151" t="s">
        <v>1316</v>
      </c>
      <c r="B151" s="26"/>
      <c r="C151" s="26"/>
      <c r="D151" t="s">
        <v>939</v>
      </c>
      <c r="E151" s="26"/>
      <c r="G151">
        <v>2017</v>
      </c>
      <c r="H151" t="s">
        <v>1317</v>
      </c>
      <c r="I151" t="s">
        <v>44</v>
      </c>
      <c r="K151" t="s">
        <v>1318</v>
      </c>
      <c r="L151" t="s">
        <v>1319</v>
      </c>
      <c r="M151" t="s">
        <v>1320</v>
      </c>
      <c r="N151" t="s">
        <v>963</v>
      </c>
      <c r="O151" t="s">
        <v>1318</v>
      </c>
      <c r="P151" t="s">
        <v>1318</v>
      </c>
      <c r="Q151" t="s">
        <v>1318</v>
      </c>
    </row>
    <row r="152" spans="1:17">
      <c r="A152" t="s">
        <v>1321</v>
      </c>
      <c r="B152" s="26"/>
      <c r="C152" s="26"/>
      <c r="D152" t="s">
        <v>939</v>
      </c>
      <c r="E152" s="26"/>
      <c r="G152">
        <v>2021</v>
      </c>
      <c r="H152" t="s">
        <v>1322</v>
      </c>
      <c r="I152" t="s">
        <v>44</v>
      </c>
      <c r="K152">
        <v>6785</v>
      </c>
      <c r="L152" t="s">
        <v>1323</v>
      </c>
      <c r="M152" t="s">
        <v>1324</v>
      </c>
      <c r="N152" t="s">
        <v>963</v>
      </c>
      <c r="O152">
        <v>6785</v>
      </c>
      <c r="P152">
        <v>7000</v>
      </c>
      <c r="Q152">
        <v>7000</v>
      </c>
    </row>
    <row r="153" spans="1:17">
      <c r="A153" t="s">
        <v>1325</v>
      </c>
      <c r="B153" s="26">
        <v>41970</v>
      </c>
      <c r="C153" s="26">
        <v>41974</v>
      </c>
      <c r="D153" t="s">
        <v>939</v>
      </c>
      <c r="E153" s="26">
        <v>41970</v>
      </c>
      <c r="G153">
        <v>2014</v>
      </c>
      <c r="H153" t="s">
        <v>1326</v>
      </c>
      <c r="I153" t="s">
        <v>44</v>
      </c>
      <c r="K153">
        <v>32920</v>
      </c>
      <c r="L153" t="s">
        <v>1327</v>
      </c>
      <c r="M153" t="s">
        <v>1328</v>
      </c>
      <c r="O153">
        <v>32920</v>
      </c>
      <c r="Q153">
        <v>51000</v>
      </c>
    </row>
    <row r="154" spans="1:17">
      <c r="A154" t="s">
        <v>1325</v>
      </c>
      <c r="B154" s="26">
        <v>41970</v>
      </c>
      <c r="C154" s="26">
        <v>41974</v>
      </c>
      <c r="D154" t="s">
        <v>939</v>
      </c>
      <c r="E154" s="26">
        <v>41970</v>
      </c>
      <c r="G154">
        <v>2014</v>
      </c>
      <c r="H154" t="s">
        <v>1326</v>
      </c>
      <c r="I154" t="s">
        <v>44</v>
      </c>
      <c r="K154">
        <v>17950</v>
      </c>
      <c r="L154" t="s">
        <v>1327</v>
      </c>
      <c r="M154" t="s">
        <v>1328</v>
      </c>
      <c r="O154">
        <v>17950</v>
      </c>
      <c r="Q154">
        <v>51000</v>
      </c>
    </row>
    <row r="155" spans="1:17">
      <c r="A155" t="s">
        <v>1329</v>
      </c>
      <c r="B155" s="26"/>
      <c r="C155" s="26"/>
      <c r="D155" t="s">
        <v>939</v>
      </c>
      <c r="E155" s="26"/>
      <c r="G155">
        <v>2016</v>
      </c>
      <c r="H155" t="s">
        <v>1330</v>
      </c>
      <c r="I155" t="s">
        <v>44</v>
      </c>
      <c r="K155">
        <v>31122</v>
      </c>
      <c r="L155" t="s">
        <v>1319</v>
      </c>
      <c r="M155" t="s">
        <v>1320</v>
      </c>
      <c r="N155" t="s">
        <v>963</v>
      </c>
      <c r="O155">
        <v>31122</v>
      </c>
      <c r="P155" t="s">
        <v>1331</v>
      </c>
      <c r="Q155">
        <v>80000</v>
      </c>
    </row>
    <row r="156" spans="1:17">
      <c r="A156" t="s">
        <v>1329</v>
      </c>
      <c r="B156" s="26"/>
      <c r="C156" s="26"/>
      <c r="D156" t="s">
        <v>939</v>
      </c>
      <c r="E156" s="26"/>
      <c r="G156">
        <v>2016</v>
      </c>
      <c r="H156" t="s">
        <v>1330</v>
      </c>
      <c r="I156" t="s">
        <v>44</v>
      </c>
      <c r="K156">
        <v>31122</v>
      </c>
      <c r="L156" t="s">
        <v>1332</v>
      </c>
      <c r="M156" t="s">
        <v>1320</v>
      </c>
      <c r="N156" t="s">
        <v>963</v>
      </c>
      <c r="O156">
        <v>31122</v>
      </c>
      <c r="P156" t="s">
        <v>1331</v>
      </c>
      <c r="Q156">
        <v>80000</v>
      </c>
    </row>
    <row r="157" spans="1:17">
      <c r="A157" t="s">
        <v>1333</v>
      </c>
      <c r="B157" s="26">
        <v>43682</v>
      </c>
      <c r="C157" s="26">
        <v>43682</v>
      </c>
      <c r="D157" t="s">
        <v>939</v>
      </c>
      <c r="E157" s="26"/>
      <c r="G157">
        <v>2019</v>
      </c>
      <c r="H157" t="s">
        <v>1317</v>
      </c>
      <c r="I157" t="s">
        <v>44</v>
      </c>
      <c r="K157">
        <v>37100</v>
      </c>
      <c r="L157" t="s">
        <v>1334</v>
      </c>
      <c r="M157" t="s">
        <v>1320</v>
      </c>
      <c r="N157" t="s">
        <v>963</v>
      </c>
      <c r="O157">
        <v>37100</v>
      </c>
      <c r="P157">
        <v>37100</v>
      </c>
      <c r="Q157">
        <v>37100</v>
      </c>
    </row>
    <row r="158" spans="1:17">
      <c r="A158" t="s">
        <v>1335</v>
      </c>
      <c r="B158" s="26"/>
      <c r="C158" s="26"/>
      <c r="D158" t="s">
        <v>939</v>
      </c>
      <c r="E158" s="26"/>
      <c r="G158">
        <v>2017</v>
      </c>
      <c r="H158" t="s">
        <v>1336</v>
      </c>
      <c r="I158" t="s">
        <v>44</v>
      </c>
      <c r="K158">
        <v>0</v>
      </c>
      <c r="L158" t="s">
        <v>1337</v>
      </c>
      <c r="M158" t="s">
        <v>1338</v>
      </c>
      <c r="N158" t="s">
        <v>963</v>
      </c>
      <c r="O158">
        <v>0</v>
      </c>
      <c r="P158">
        <v>0</v>
      </c>
      <c r="Q158">
        <v>25400000</v>
      </c>
    </row>
    <row r="159" spans="1:17">
      <c r="A159" t="s">
        <v>1339</v>
      </c>
      <c r="B159" s="26">
        <v>44096</v>
      </c>
      <c r="C159" s="26">
        <v>44096</v>
      </c>
      <c r="D159" t="s">
        <v>939</v>
      </c>
      <c r="E159" s="26"/>
      <c r="G159">
        <v>2020</v>
      </c>
      <c r="H159" t="s">
        <v>1340</v>
      </c>
      <c r="I159" t="s">
        <v>44</v>
      </c>
      <c r="J159" t="s">
        <v>44</v>
      </c>
      <c r="K159">
        <v>600000</v>
      </c>
      <c r="L159" t="s">
        <v>1341</v>
      </c>
      <c r="M159" t="s">
        <v>1342</v>
      </c>
      <c r="N159" t="s">
        <v>963</v>
      </c>
      <c r="P159">
        <v>600000</v>
      </c>
    </row>
    <row r="160" spans="1:17">
      <c r="A160" t="s">
        <v>1343</v>
      </c>
      <c r="B160" s="26"/>
      <c r="C160" s="26"/>
      <c r="D160" t="s">
        <v>939</v>
      </c>
      <c r="E160" s="26"/>
      <c r="G160">
        <v>2021</v>
      </c>
      <c r="H160" t="s">
        <v>1344</v>
      </c>
      <c r="I160" t="s">
        <v>44</v>
      </c>
      <c r="K160" t="s">
        <v>1345</v>
      </c>
      <c r="L160" t="s">
        <v>1346</v>
      </c>
      <c r="M160" t="s">
        <v>1347</v>
      </c>
      <c r="N160" t="s">
        <v>963</v>
      </c>
      <c r="O160" t="s">
        <v>1345</v>
      </c>
      <c r="P160" t="s">
        <v>1348</v>
      </c>
      <c r="Q160" t="s">
        <v>1348</v>
      </c>
    </row>
    <row r="161" spans="1:17">
      <c r="A161" t="s">
        <v>1349</v>
      </c>
      <c r="B161" s="26"/>
      <c r="C161" s="26"/>
      <c r="D161" t="s">
        <v>939</v>
      </c>
      <c r="E161" s="26"/>
      <c r="G161">
        <v>2015</v>
      </c>
      <c r="H161" t="s">
        <v>1350</v>
      </c>
      <c r="I161" t="s">
        <v>44</v>
      </c>
      <c r="K161">
        <v>0</v>
      </c>
      <c r="L161" t="s">
        <v>1351</v>
      </c>
      <c r="M161" t="s">
        <v>1338</v>
      </c>
      <c r="N161" t="s">
        <v>963</v>
      </c>
      <c r="O161">
        <v>0</v>
      </c>
      <c r="P161">
        <v>0</v>
      </c>
      <c r="Q161">
        <v>24000000</v>
      </c>
    </row>
    <row r="162" spans="1:17">
      <c r="A162" t="s">
        <v>1352</v>
      </c>
      <c r="B162" s="26">
        <v>43077</v>
      </c>
      <c r="C162" s="26">
        <v>43077</v>
      </c>
      <c r="D162" t="s">
        <v>939</v>
      </c>
      <c r="E162" s="26"/>
      <c r="G162">
        <v>2017</v>
      </c>
      <c r="H162" t="s">
        <v>1353</v>
      </c>
      <c r="I162" t="s">
        <v>35</v>
      </c>
      <c r="J162" t="s">
        <v>35</v>
      </c>
      <c r="K162" t="s">
        <v>1354</v>
      </c>
      <c r="L162" t="s">
        <v>1355</v>
      </c>
      <c r="M162" t="s">
        <v>1356</v>
      </c>
      <c r="N162" t="s">
        <v>963</v>
      </c>
      <c r="O162" t="s">
        <v>1354</v>
      </c>
      <c r="P162" t="s">
        <v>1354</v>
      </c>
    </row>
    <row r="163" spans="1:17">
      <c r="A163" t="s">
        <v>1357</v>
      </c>
      <c r="B163" s="26">
        <v>42606</v>
      </c>
      <c r="C163" s="26">
        <v>42606</v>
      </c>
      <c r="D163" t="s">
        <v>939</v>
      </c>
      <c r="E163" s="26"/>
      <c r="G163">
        <v>2016</v>
      </c>
      <c r="H163" t="s">
        <v>1358</v>
      </c>
      <c r="I163" t="s">
        <v>35</v>
      </c>
      <c r="J163" t="s">
        <v>35</v>
      </c>
      <c r="K163">
        <v>640000</v>
      </c>
      <c r="L163" t="s">
        <v>1359</v>
      </c>
      <c r="M163" t="s">
        <v>1356</v>
      </c>
      <c r="N163" t="s">
        <v>963</v>
      </c>
      <c r="O163">
        <v>640000</v>
      </c>
      <c r="P163">
        <v>640000</v>
      </c>
    </row>
    <row r="164" spans="1:17">
      <c r="A164" t="s">
        <v>1360</v>
      </c>
      <c r="B164" s="26">
        <v>42642</v>
      </c>
      <c r="C164" s="26">
        <v>42642</v>
      </c>
      <c r="D164" t="s">
        <v>939</v>
      </c>
      <c r="E164" s="26"/>
      <c r="G164">
        <v>2016</v>
      </c>
      <c r="H164" t="s">
        <v>1361</v>
      </c>
      <c r="I164" t="s">
        <v>35</v>
      </c>
      <c r="J164" t="s">
        <v>35</v>
      </c>
      <c r="K164">
        <v>12613985</v>
      </c>
      <c r="L164" t="s">
        <v>1362</v>
      </c>
      <c r="M164" t="s">
        <v>1363</v>
      </c>
      <c r="N164" t="s">
        <v>963</v>
      </c>
      <c r="O164">
        <v>12613985</v>
      </c>
    </row>
    <row r="165" spans="1:17">
      <c r="A165" t="s">
        <v>1364</v>
      </c>
      <c r="B165" s="26">
        <v>41884</v>
      </c>
      <c r="C165" s="26">
        <v>41937</v>
      </c>
      <c r="D165" t="s">
        <v>939</v>
      </c>
      <c r="E165" s="26"/>
      <c r="G165">
        <v>2014</v>
      </c>
      <c r="H165" t="s">
        <v>1365</v>
      </c>
      <c r="I165" t="s">
        <v>136</v>
      </c>
      <c r="J165" t="s">
        <v>157</v>
      </c>
      <c r="K165" t="s">
        <v>953</v>
      </c>
      <c r="L165" t="s">
        <v>1366</v>
      </c>
      <c r="M165" t="s">
        <v>1367</v>
      </c>
      <c r="N165" t="s">
        <v>963</v>
      </c>
    </row>
    <row r="166" spans="1:17">
      <c r="A166" t="s">
        <v>1368</v>
      </c>
      <c r="B166" s="26">
        <v>43455</v>
      </c>
      <c r="C166" s="26">
        <v>43455</v>
      </c>
      <c r="D166" t="s">
        <v>939</v>
      </c>
      <c r="E166" s="26"/>
      <c r="G166">
        <v>2018</v>
      </c>
      <c r="H166" t="s">
        <v>1369</v>
      </c>
      <c r="I166" t="s">
        <v>136</v>
      </c>
      <c r="J166" t="s">
        <v>156</v>
      </c>
      <c r="K166" t="s">
        <v>953</v>
      </c>
      <c r="L166" t="s">
        <v>1370</v>
      </c>
      <c r="M166" t="s">
        <v>1367</v>
      </c>
      <c r="N166" t="s">
        <v>963</v>
      </c>
    </row>
    <row r="167" spans="1:17">
      <c r="A167" t="s">
        <v>1368</v>
      </c>
      <c r="B167" s="26">
        <v>43455</v>
      </c>
      <c r="C167" s="26">
        <v>43455</v>
      </c>
      <c r="D167" t="s">
        <v>939</v>
      </c>
      <c r="E167" s="26"/>
      <c r="G167">
        <v>2018</v>
      </c>
      <c r="H167" t="s">
        <v>1369</v>
      </c>
      <c r="I167" t="s">
        <v>136</v>
      </c>
      <c r="J167" t="s">
        <v>41</v>
      </c>
      <c r="K167" t="s">
        <v>953</v>
      </c>
      <c r="L167" t="s">
        <v>1371</v>
      </c>
      <c r="M167" t="s">
        <v>1367</v>
      </c>
      <c r="N167" t="s">
        <v>963</v>
      </c>
    </row>
    <row r="168" spans="1:17">
      <c r="A168" t="s">
        <v>1372</v>
      </c>
      <c r="B168" s="26">
        <v>42503</v>
      </c>
      <c r="C168" s="26">
        <v>42523</v>
      </c>
      <c r="D168" t="s">
        <v>939</v>
      </c>
      <c r="E168" s="26"/>
      <c r="G168">
        <v>2015</v>
      </c>
      <c r="H168" t="s">
        <v>1373</v>
      </c>
      <c r="I168" t="s">
        <v>136</v>
      </c>
      <c r="J168" t="s">
        <v>156</v>
      </c>
      <c r="K168" t="s">
        <v>953</v>
      </c>
      <c r="L168" t="s">
        <v>1374</v>
      </c>
      <c r="M168" t="s">
        <v>1375</v>
      </c>
      <c r="N168" t="s">
        <v>963</v>
      </c>
    </row>
    <row r="169" spans="1:17">
      <c r="A169" t="s">
        <v>1376</v>
      </c>
      <c r="B169" s="26">
        <v>44218</v>
      </c>
      <c r="C169" s="26">
        <v>44218</v>
      </c>
      <c r="D169" t="s">
        <v>939</v>
      </c>
      <c r="E169" s="26"/>
      <c r="G169">
        <v>2020</v>
      </c>
      <c r="H169" t="s">
        <v>1377</v>
      </c>
      <c r="I169" t="s">
        <v>331</v>
      </c>
      <c r="J169" t="s">
        <v>331</v>
      </c>
      <c r="K169" t="s">
        <v>953</v>
      </c>
      <c r="L169" t="s">
        <v>182</v>
      </c>
      <c r="M169" t="s">
        <v>1378</v>
      </c>
      <c r="N169" t="s">
        <v>963</v>
      </c>
    </row>
    <row r="170" spans="1:17">
      <c r="A170" t="s">
        <v>1379</v>
      </c>
      <c r="B170" s="26">
        <v>43196</v>
      </c>
      <c r="C170" s="26">
        <v>43196</v>
      </c>
      <c r="D170" t="s">
        <v>939</v>
      </c>
      <c r="E170" s="26"/>
      <c r="G170">
        <v>2017</v>
      </c>
      <c r="H170" t="s">
        <v>1380</v>
      </c>
      <c r="I170" t="s">
        <v>331</v>
      </c>
      <c r="J170" t="s">
        <v>156</v>
      </c>
      <c r="K170">
        <v>600618</v>
      </c>
      <c r="L170" t="s">
        <v>1381</v>
      </c>
      <c r="M170" t="s">
        <v>1378</v>
      </c>
      <c r="N170" t="s">
        <v>963</v>
      </c>
      <c r="O170">
        <v>600618</v>
      </c>
      <c r="P170">
        <v>917568</v>
      </c>
    </row>
    <row r="171" spans="1:17">
      <c r="A171" t="s">
        <v>1379</v>
      </c>
      <c r="B171" s="26">
        <v>43196</v>
      </c>
      <c r="C171" s="26">
        <v>43196</v>
      </c>
      <c r="D171" t="s">
        <v>939</v>
      </c>
      <c r="E171" s="26"/>
      <c r="G171">
        <v>2017</v>
      </c>
      <c r="H171" t="s">
        <v>1380</v>
      </c>
      <c r="I171" t="s">
        <v>331</v>
      </c>
      <c r="J171" t="s">
        <v>156</v>
      </c>
      <c r="K171">
        <v>2541234</v>
      </c>
      <c r="L171" t="s">
        <v>1382</v>
      </c>
      <c r="M171" t="s">
        <v>1378</v>
      </c>
      <c r="N171" t="s">
        <v>963</v>
      </c>
      <c r="O171">
        <v>2541234</v>
      </c>
      <c r="P171">
        <v>917568</v>
      </c>
    </row>
    <row r="172" spans="1:17">
      <c r="A172" t="s">
        <v>1379</v>
      </c>
      <c r="B172" s="26">
        <v>43196</v>
      </c>
      <c r="C172" s="26">
        <v>43196</v>
      </c>
      <c r="D172" t="s">
        <v>939</v>
      </c>
      <c r="E172" s="26"/>
      <c r="G172">
        <v>2017</v>
      </c>
      <c r="H172" t="s">
        <v>1380</v>
      </c>
      <c r="I172" t="s">
        <v>331</v>
      </c>
      <c r="J172" t="s">
        <v>156</v>
      </c>
      <c r="K172">
        <v>62826</v>
      </c>
      <c r="L172" t="s">
        <v>1383</v>
      </c>
      <c r="M172" t="s">
        <v>1378</v>
      </c>
      <c r="N172" t="s">
        <v>963</v>
      </c>
      <c r="O172">
        <v>62826</v>
      </c>
      <c r="P172">
        <v>917568</v>
      </c>
    </row>
    <row r="173" spans="1:17">
      <c r="A173" t="s">
        <v>1384</v>
      </c>
      <c r="B173" s="26">
        <v>44155</v>
      </c>
      <c r="C173" s="26">
        <v>44155</v>
      </c>
      <c r="D173" t="s">
        <v>939</v>
      </c>
      <c r="E173" s="26"/>
      <c r="G173">
        <v>2019</v>
      </c>
      <c r="H173" t="s">
        <v>1385</v>
      </c>
      <c r="I173" t="s">
        <v>331</v>
      </c>
      <c r="J173" t="s">
        <v>156</v>
      </c>
      <c r="K173" t="s">
        <v>1386</v>
      </c>
      <c r="L173" t="s">
        <v>1387</v>
      </c>
      <c r="M173" t="s">
        <v>1378</v>
      </c>
      <c r="N173" t="s">
        <v>963</v>
      </c>
      <c r="O173" t="s">
        <v>1386</v>
      </c>
      <c r="P173" t="s">
        <v>1388</v>
      </c>
    </row>
    <row r="174" spans="1:17">
      <c r="A174" t="s">
        <v>1384</v>
      </c>
      <c r="B174" s="26">
        <v>44155</v>
      </c>
      <c r="C174" s="26">
        <v>44155</v>
      </c>
      <c r="D174" t="s">
        <v>939</v>
      </c>
      <c r="E174" s="26"/>
      <c r="G174">
        <v>2019</v>
      </c>
      <c r="H174" t="s">
        <v>1385</v>
      </c>
      <c r="I174" t="s">
        <v>331</v>
      </c>
      <c r="J174" t="s">
        <v>156</v>
      </c>
      <c r="K174" t="s">
        <v>1389</v>
      </c>
      <c r="L174" t="s">
        <v>1390</v>
      </c>
      <c r="M174" t="s">
        <v>1378</v>
      </c>
      <c r="N174" t="s">
        <v>963</v>
      </c>
      <c r="O174" t="s">
        <v>1389</v>
      </c>
      <c r="P174" t="s">
        <v>1388</v>
      </c>
    </row>
    <row r="175" spans="1:17">
      <c r="A175" t="s">
        <v>1384</v>
      </c>
      <c r="B175" s="26">
        <v>44155</v>
      </c>
      <c r="C175" s="26">
        <v>44155</v>
      </c>
      <c r="D175" t="s">
        <v>939</v>
      </c>
      <c r="E175" s="26"/>
      <c r="G175">
        <v>2019</v>
      </c>
      <c r="H175" t="s">
        <v>1385</v>
      </c>
      <c r="I175" t="s">
        <v>331</v>
      </c>
      <c r="J175" t="s">
        <v>156</v>
      </c>
      <c r="K175" t="s">
        <v>1391</v>
      </c>
      <c r="L175" t="s">
        <v>1381</v>
      </c>
      <c r="M175" t="s">
        <v>1378</v>
      </c>
      <c r="N175" t="s">
        <v>963</v>
      </c>
      <c r="O175" t="s">
        <v>1391</v>
      </c>
      <c r="P175" t="s">
        <v>1388</v>
      </c>
    </row>
    <row r="176" spans="1:17">
      <c r="A176" t="s">
        <v>1384</v>
      </c>
      <c r="B176" s="26">
        <v>44155</v>
      </c>
      <c r="C176" s="26">
        <v>44155</v>
      </c>
      <c r="D176" t="s">
        <v>939</v>
      </c>
      <c r="E176" s="26"/>
      <c r="G176">
        <v>2019</v>
      </c>
      <c r="H176" t="s">
        <v>1385</v>
      </c>
      <c r="I176" t="s">
        <v>331</v>
      </c>
      <c r="J176" t="s">
        <v>156</v>
      </c>
      <c r="K176" t="s">
        <v>1392</v>
      </c>
      <c r="L176" t="s">
        <v>1393</v>
      </c>
      <c r="M176" t="s">
        <v>1378</v>
      </c>
      <c r="N176" t="s">
        <v>963</v>
      </c>
      <c r="O176" t="s">
        <v>1392</v>
      </c>
      <c r="P176" t="s">
        <v>1388</v>
      </c>
    </row>
    <row r="177" spans="1:17">
      <c r="A177" t="s">
        <v>1384</v>
      </c>
      <c r="B177" s="26">
        <v>44155</v>
      </c>
      <c r="C177" s="26">
        <v>44155</v>
      </c>
      <c r="D177" t="s">
        <v>939</v>
      </c>
      <c r="E177" s="26"/>
      <c r="G177">
        <v>2019</v>
      </c>
      <c r="H177" t="s">
        <v>1385</v>
      </c>
      <c r="I177" t="s">
        <v>331</v>
      </c>
      <c r="J177" t="s">
        <v>156</v>
      </c>
      <c r="K177" t="s">
        <v>1394</v>
      </c>
      <c r="L177" t="s">
        <v>1383</v>
      </c>
      <c r="M177" t="s">
        <v>1378</v>
      </c>
      <c r="N177" t="s">
        <v>963</v>
      </c>
      <c r="O177" t="s">
        <v>1394</v>
      </c>
      <c r="P177" t="s">
        <v>1388</v>
      </c>
    </row>
    <row r="178" spans="1:17">
      <c r="A178" t="s">
        <v>1395</v>
      </c>
      <c r="B178" s="26">
        <v>44286</v>
      </c>
      <c r="C178" s="26">
        <v>44286</v>
      </c>
      <c r="D178" t="s">
        <v>939</v>
      </c>
      <c r="E178" s="26"/>
      <c r="G178">
        <v>2020</v>
      </c>
      <c r="H178" t="s">
        <v>1396</v>
      </c>
      <c r="I178" t="s">
        <v>331</v>
      </c>
      <c r="J178" t="s">
        <v>157</v>
      </c>
      <c r="K178">
        <v>206300</v>
      </c>
      <c r="L178" t="s">
        <v>1397</v>
      </c>
      <c r="M178" t="s">
        <v>1378</v>
      </c>
      <c r="N178" t="s">
        <v>963</v>
      </c>
      <c r="O178">
        <v>206300</v>
      </c>
    </row>
    <row r="179" spans="1:17">
      <c r="A179" t="s">
        <v>1395</v>
      </c>
      <c r="B179" s="26">
        <v>44286</v>
      </c>
      <c r="C179" s="26">
        <v>44286</v>
      </c>
      <c r="D179" t="s">
        <v>939</v>
      </c>
      <c r="E179" s="26"/>
      <c r="G179">
        <v>2020</v>
      </c>
      <c r="H179" t="s">
        <v>1396</v>
      </c>
      <c r="I179" t="s">
        <v>331</v>
      </c>
      <c r="J179" t="s">
        <v>156</v>
      </c>
      <c r="K179">
        <v>1051</v>
      </c>
      <c r="L179" t="s">
        <v>1398</v>
      </c>
      <c r="M179" t="s">
        <v>1378</v>
      </c>
      <c r="N179" t="s">
        <v>963</v>
      </c>
      <c r="O179">
        <v>1051</v>
      </c>
    </row>
    <row r="180" spans="1:17">
      <c r="A180" t="s">
        <v>1395</v>
      </c>
      <c r="B180" s="26">
        <v>44286</v>
      </c>
      <c r="C180" s="26">
        <v>44286</v>
      </c>
      <c r="D180" t="s">
        <v>939</v>
      </c>
      <c r="E180" s="26"/>
      <c r="G180">
        <v>2020</v>
      </c>
      <c r="H180" t="s">
        <v>1396</v>
      </c>
      <c r="I180" t="s">
        <v>331</v>
      </c>
      <c r="J180" t="s">
        <v>41</v>
      </c>
      <c r="K180">
        <v>626209</v>
      </c>
      <c r="L180" t="s">
        <v>1399</v>
      </c>
      <c r="M180" t="s">
        <v>1378</v>
      </c>
      <c r="N180" t="s">
        <v>963</v>
      </c>
      <c r="O180">
        <v>626209</v>
      </c>
    </row>
    <row r="181" spans="1:17">
      <c r="A181" t="s">
        <v>1395</v>
      </c>
      <c r="B181" s="26">
        <v>44286</v>
      </c>
      <c r="C181" s="26">
        <v>44286</v>
      </c>
      <c r="D181" t="s">
        <v>939</v>
      </c>
      <c r="E181" s="26"/>
      <c r="G181">
        <v>2020</v>
      </c>
      <c r="H181" t="s">
        <v>1396</v>
      </c>
      <c r="I181" t="s">
        <v>331</v>
      </c>
      <c r="J181" t="s">
        <v>157</v>
      </c>
      <c r="K181">
        <v>3967</v>
      </c>
      <c r="L181" t="s">
        <v>1400</v>
      </c>
      <c r="M181" t="s">
        <v>1378</v>
      </c>
      <c r="N181" t="s">
        <v>963</v>
      </c>
      <c r="O181">
        <v>3967</v>
      </c>
    </row>
    <row r="182" spans="1:17">
      <c r="A182" t="s">
        <v>1395</v>
      </c>
      <c r="B182" s="26">
        <v>44286</v>
      </c>
      <c r="C182" s="26">
        <v>44286</v>
      </c>
      <c r="D182" t="s">
        <v>939</v>
      </c>
      <c r="E182" s="26"/>
      <c r="G182">
        <v>2020</v>
      </c>
      <c r="H182" t="s">
        <v>1396</v>
      </c>
      <c r="I182" t="s">
        <v>331</v>
      </c>
      <c r="J182" t="s">
        <v>157</v>
      </c>
      <c r="K182">
        <v>104126</v>
      </c>
      <c r="L182" t="s">
        <v>1401</v>
      </c>
      <c r="M182" t="s">
        <v>1378</v>
      </c>
      <c r="N182" t="s">
        <v>963</v>
      </c>
      <c r="O182">
        <v>104126</v>
      </c>
    </row>
    <row r="183" spans="1:17">
      <c r="A183" t="s">
        <v>1402</v>
      </c>
      <c r="B183" s="26">
        <v>43755</v>
      </c>
      <c r="C183" s="26">
        <v>43755</v>
      </c>
      <c r="D183" t="s">
        <v>939</v>
      </c>
      <c r="E183" s="26"/>
      <c r="G183">
        <v>2019</v>
      </c>
      <c r="H183" t="s">
        <v>1403</v>
      </c>
      <c r="I183" t="s">
        <v>33</v>
      </c>
      <c r="J183" t="s">
        <v>44</v>
      </c>
      <c r="K183">
        <v>178500</v>
      </c>
      <c r="L183" t="s">
        <v>1404</v>
      </c>
      <c r="M183" t="s">
        <v>1405</v>
      </c>
      <c r="N183" t="s">
        <v>1210</v>
      </c>
      <c r="O183">
        <v>178500</v>
      </c>
      <c r="P183">
        <v>178500</v>
      </c>
      <c r="Q183">
        <v>180000</v>
      </c>
    </row>
    <row r="184" spans="1:17">
      <c r="A184" t="s">
        <v>1406</v>
      </c>
      <c r="B184" s="26">
        <v>41474</v>
      </c>
      <c r="C184" s="26">
        <v>41474</v>
      </c>
      <c r="D184" t="s">
        <v>939</v>
      </c>
      <c r="E184" s="26"/>
      <c r="G184">
        <v>2012</v>
      </c>
      <c r="H184" t="s">
        <v>1407</v>
      </c>
      <c r="I184" t="s">
        <v>41</v>
      </c>
      <c r="J184" t="s">
        <v>44</v>
      </c>
      <c r="K184">
        <v>16907838</v>
      </c>
      <c r="L184" t="s">
        <v>1408</v>
      </c>
      <c r="M184" t="s">
        <v>1409</v>
      </c>
      <c r="N184" t="s">
        <v>1210</v>
      </c>
      <c r="O184">
        <v>16907838</v>
      </c>
      <c r="P184">
        <v>16907838</v>
      </c>
    </row>
    <row r="185" spans="1:17">
      <c r="A185" t="s">
        <v>1410</v>
      </c>
      <c r="B185" s="26">
        <v>41902</v>
      </c>
      <c r="C185" s="26">
        <v>41902</v>
      </c>
      <c r="D185" t="s">
        <v>939</v>
      </c>
      <c r="E185" s="26"/>
      <c r="G185">
        <v>2013</v>
      </c>
      <c r="H185" t="s">
        <v>1411</v>
      </c>
      <c r="I185" t="s">
        <v>41</v>
      </c>
      <c r="J185" t="s">
        <v>41</v>
      </c>
      <c r="K185" t="s">
        <v>953</v>
      </c>
      <c r="L185" t="s">
        <v>1412</v>
      </c>
      <c r="M185" t="s">
        <v>1413</v>
      </c>
      <c r="N185" t="s">
        <v>963</v>
      </c>
    </row>
    <row r="186" spans="1:17">
      <c r="A186" t="s">
        <v>1410</v>
      </c>
      <c r="B186" s="26">
        <v>41902</v>
      </c>
      <c r="C186" s="26">
        <v>41902</v>
      </c>
      <c r="D186" t="s">
        <v>939</v>
      </c>
      <c r="E186" s="26"/>
      <c r="G186">
        <v>2013</v>
      </c>
      <c r="H186" t="s">
        <v>1411</v>
      </c>
      <c r="I186" t="s">
        <v>41</v>
      </c>
      <c r="J186" t="s">
        <v>41</v>
      </c>
      <c r="K186" t="s">
        <v>953</v>
      </c>
      <c r="L186" t="s">
        <v>1412</v>
      </c>
      <c r="M186" t="s">
        <v>1413</v>
      </c>
      <c r="N186" t="s">
        <v>963</v>
      </c>
    </row>
    <row r="187" spans="1:17">
      <c r="A187" t="s">
        <v>1410</v>
      </c>
      <c r="B187" s="26">
        <v>41902</v>
      </c>
      <c r="C187" s="26">
        <v>41902</v>
      </c>
      <c r="D187" t="s">
        <v>939</v>
      </c>
      <c r="E187" s="26"/>
      <c r="G187">
        <v>2013</v>
      </c>
      <c r="H187" t="s">
        <v>1411</v>
      </c>
      <c r="I187" t="s">
        <v>41</v>
      </c>
      <c r="J187" t="s">
        <v>41</v>
      </c>
      <c r="K187" t="s">
        <v>953</v>
      </c>
      <c r="L187" t="s">
        <v>1412</v>
      </c>
      <c r="M187" t="s">
        <v>1413</v>
      </c>
      <c r="N187" t="s">
        <v>963</v>
      </c>
    </row>
    <row r="188" spans="1:17">
      <c r="A188" t="s">
        <v>1410</v>
      </c>
      <c r="B188" s="26">
        <v>41902</v>
      </c>
      <c r="C188" s="26">
        <v>41902</v>
      </c>
      <c r="D188" t="s">
        <v>939</v>
      </c>
      <c r="E188" s="26"/>
      <c r="G188">
        <v>2013</v>
      </c>
      <c r="H188" t="s">
        <v>1411</v>
      </c>
      <c r="I188" t="s">
        <v>41</v>
      </c>
      <c r="J188" t="s">
        <v>41</v>
      </c>
      <c r="K188" t="s">
        <v>953</v>
      </c>
      <c r="L188" t="s">
        <v>1412</v>
      </c>
      <c r="M188" t="s">
        <v>1413</v>
      </c>
      <c r="N188" t="s">
        <v>963</v>
      </c>
    </row>
    <row r="189" spans="1:17">
      <c r="A189" t="s">
        <v>1410</v>
      </c>
      <c r="B189" s="26">
        <v>41902</v>
      </c>
      <c r="C189" s="26">
        <v>41902</v>
      </c>
      <c r="D189" t="s">
        <v>939</v>
      </c>
      <c r="E189" s="26"/>
      <c r="G189">
        <v>2013</v>
      </c>
      <c r="H189" t="s">
        <v>1411</v>
      </c>
      <c r="I189" t="s">
        <v>41</v>
      </c>
      <c r="J189" t="s">
        <v>156</v>
      </c>
      <c r="K189" t="s">
        <v>953</v>
      </c>
      <c r="L189" t="s">
        <v>1414</v>
      </c>
      <c r="M189" t="s">
        <v>1413</v>
      </c>
      <c r="N189" t="s">
        <v>963</v>
      </c>
    </row>
    <row r="190" spans="1:17">
      <c r="A190" t="s">
        <v>1410</v>
      </c>
      <c r="B190" s="26">
        <v>41902</v>
      </c>
      <c r="C190" s="26">
        <v>41902</v>
      </c>
      <c r="D190" t="s">
        <v>939</v>
      </c>
      <c r="E190" s="26"/>
      <c r="G190">
        <v>2013</v>
      </c>
      <c r="H190" t="s">
        <v>1411</v>
      </c>
      <c r="I190" t="s">
        <v>41</v>
      </c>
      <c r="J190" t="s">
        <v>156</v>
      </c>
      <c r="K190" t="s">
        <v>953</v>
      </c>
      <c r="L190" t="s">
        <v>1414</v>
      </c>
      <c r="M190" t="s">
        <v>1413</v>
      </c>
      <c r="N190" t="s">
        <v>963</v>
      </c>
    </row>
    <row r="191" spans="1:17">
      <c r="A191" t="s">
        <v>1410</v>
      </c>
      <c r="B191" s="26">
        <v>41902</v>
      </c>
      <c r="C191" s="26">
        <v>41902</v>
      </c>
      <c r="D191" t="s">
        <v>939</v>
      </c>
      <c r="E191" s="26"/>
      <c r="G191">
        <v>2013</v>
      </c>
      <c r="H191" t="s">
        <v>1411</v>
      </c>
      <c r="I191" t="s">
        <v>41</v>
      </c>
      <c r="J191" t="s">
        <v>41</v>
      </c>
      <c r="K191" t="s">
        <v>953</v>
      </c>
      <c r="L191" t="s">
        <v>1412</v>
      </c>
      <c r="M191" t="s">
        <v>1413</v>
      </c>
      <c r="N191" t="s">
        <v>963</v>
      </c>
    </row>
    <row r="192" spans="1:17">
      <c r="A192" t="s">
        <v>1410</v>
      </c>
      <c r="B192" s="26">
        <v>41902</v>
      </c>
      <c r="C192" s="26">
        <v>41902</v>
      </c>
      <c r="D192" t="s">
        <v>939</v>
      </c>
      <c r="E192" s="26"/>
      <c r="G192">
        <v>2013</v>
      </c>
      <c r="H192" t="s">
        <v>1411</v>
      </c>
      <c r="I192" t="s">
        <v>41</v>
      </c>
      <c r="J192" t="s">
        <v>41</v>
      </c>
      <c r="K192" t="s">
        <v>953</v>
      </c>
      <c r="L192" t="s">
        <v>1412</v>
      </c>
      <c r="M192" t="s">
        <v>1413</v>
      </c>
      <c r="N192" t="s">
        <v>963</v>
      </c>
    </row>
    <row r="193" spans="1:14">
      <c r="A193" t="s">
        <v>1410</v>
      </c>
      <c r="B193" s="26">
        <v>41902</v>
      </c>
      <c r="C193" s="26">
        <v>41902</v>
      </c>
      <c r="D193" t="s">
        <v>939</v>
      </c>
      <c r="E193" s="26"/>
      <c r="G193">
        <v>2013</v>
      </c>
      <c r="H193" t="s">
        <v>1411</v>
      </c>
      <c r="I193" t="s">
        <v>41</v>
      </c>
      <c r="J193" t="s">
        <v>156</v>
      </c>
      <c r="K193" t="s">
        <v>953</v>
      </c>
      <c r="L193" t="s">
        <v>1414</v>
      </c>
      <c r="M193" t="s">
        <v>1413</v>
      </c>
      <c r="N193" t="s">
        <v>963</v>
      </c>
    </row>
    <row r="194" spans="1:14">
      <c r="A194" t="s">
        <v>1410</v>
      </c>
      <c r="B194" s="26">
        <v>41902</v>
      </c>
      <c r="C194" s="26">
        <v>41902</v>
      </c>
      <c r="D194" t="s">
        <v>939</v>
      </c>
      <c r="E194" s="26"/>
      <c r="G194">
        <v>2013</v>
      </c>
      <c r="H194" t="s">
        <v>1411</v>
      </c>
      <c r="I194" t="s">
        <v>41</v>
      </c>
      <c r="J194" t="s">
        <v>156</v>
      </c>
      <c r="K194" t="s">
        <v>953</v>
      </c>
      <c r="L194" t="s">
        <v>1414</v>
      </c>
      <c r="M194" t="s">
        <v>1413</v>
      </c>
      <c r="N194" t="s">
        <v>963</v>
      </c>
    </row>
    <row r="195" spans="1:14">
      <c r="A195" t="s">
        <v>1410</v>
      </c>
      <c r="B195" s="26">
        <v>41902</v>
      </c>
      <c r="C195" s="26">
        <v>41902</v>
      </c>
      <c r="D195" t="s">
        <v>939</v>
      </c>
      <c r="E195" s="26"/>
      <c r="G195">
        <v>2013</v>
      </c>
      <c r="H195" t="s">
        <v>1411</v>
      </c>
      <c r="I195" t="s">
        <v>41</v>
      </c>
      <c r="J195" t="s">
        <v>41</v>
      </c>
      <c r="K195" t="s">
        <v>953</v>
      </c>
      <c r="L195" t="s">
        <v>1412</v>
      </c>
      <c r="M195" t="s">
        <v>1413</v>
      </c>
      <c r="N195" t="s">
        <v>963</v>
      </c>
    </row>
    <row r="196" spans="1:14">
      <c r="A196" t="s">
        <v>1410</v>
      </c>
      <c r="B196" s="26">
        <v>41902</v>
      </c>
      <c r="C196" s="26">
        <v>41902</v>
      </c>
      <c r="D196" t="s">
        <v>939</v>
      </c>
      <c r="E196" s="26"/>
      <c r="G196">
        <v>2013</v>
      </c>
      <c r="H196" t="s">
        <v>1411</v>
      </c>
      <c r="I196" t="s">
        <v>41</v>
      </c>
      <c r="J196" t="s">
        <v>41</v>
      </c>
      <c r="K196" t="s">
        <v>953</v>
      </c>
      <c r="L196" t="s">
        <v>1412</v>
      </c>
      <c r="M196" t="s">
        <v>1413</v>
      </c>
      <c r="N196" t="s">
        <v>963</v>
      </c>
    </row>
    <row r="197" spans="1:14">
      <c r="A197" t="s">
        <v>1410</v>
      </c>
      <c r="B197" s="26">
        <v>41902</v>
      </c>
      <c r="C197" s="26">
        <v>41902</v>
      </c>
      <c r="D197" t="s">
        <v>939</v>
      </c>
      <c r="E197" s="26"/>
      <c r="G197">
        <v>2013</v>
      </c>
      <c r="H197" t="s">
        <v>1411</v>
      </c>
      <c r="I197" t="s">
        <v>41</v>
      </c>
      <c r="J197" t="s">
        <v>156</v>
      </c>
      <c r="K197" t="s">
        <v>953</v>
      </c>
      <c r="L197" t="s">
        <v>1414</v>
      </c>
      <c r="M197" t="s">
        <v>1413</v>
      </c>
      <c r="N197" t="s">
        <v>963</v>
      </c>
    </row>
    <row r="198" spans="1:14">
      <c r="A198" t="s">
        <v>1410</v>
      </c>
      <c r="B198" s="26">
        <v>41902</v>
      </c>
      <c r="C198" s="26">
        <v>41902</v>
      </c>
      <c r="D198" t="s">
        <v>939</v>
      </c>
      <c r="E198" s="26"/>
      <c r="G198">
        <v>2013</v>
      </c>
      <c r="H198" t="s">
        <v>1411</v>
      </c>
      <c r="I198" t="s">
        <v>41</v>
      </c>
      <c r="J198" t="s">
        <v>156</v>
      </c>
      <c r="K198" t="s">
        <v>953</v>
      </c>
      <c r="L198" t="s">
        <v>1414</v>
      </c>
      <c r="M198" t="s">
        <v>1413</v>
      </c>
      <c r="N198" t="s">
        <v>963</v>
      </c>
    </row>
    <row r="199" spans="1:14">
      <c r="A199" t="s">
        <v>1410</v>
      </c>
      <c r="B199" s="26">
        <v>41902</v>
      </c>
      <c r="C199" s="26">
        <v>41902</v>
      </c>
      <c r="D199" t="s">
        <v>939</v>
      </c>
      <c r="E199" s="26"/>
      <c r="G199">
        <v>2013</v>
      </c>
      <c r="H199" t="s">
        <v>1411</v>
      </c>
      <c r="I199" t="s">
        <v>41</v>
      </c>
      <c r="J199" t="s">
        <v>156</v>
      </c>
      <c r="K199" t="s">
        <v>953</v>
      </c>
      <c r="L199" t="s">
        <v>1414</v>
      </c>
      <c r="M199" t="s">
        <v>1413</v>
      </c>
      <c r="N199" t="s">
        <v>963</v>
      </c>
    </row>
    <row r="200" spans="1:14">
      <c r="A200" t="s">
        <v>1410</v>
      </c>
      <c r="B200" s="26">
        <v>41902</v>
      </c>
      <c r="C200" s="26">
        <v>41902</v>
      </c>
      <c r="D200" t="s">
        <v>939</v>
      </c>
      <c r="E200" s="26"/>
      <c r="G200">
        <v>2013</v>
      </c>
      <c r="H200" t="s">
        <v>1411</v>
      </c>
      <c r="I200" t="s">
        <v>41</v>
      </c>
      <c r="J200" t="s">
        <v>156</v>
      </c>
      <c r="K200" t="s">
        <v>953</v>
      </c>
      <c r="L200" t="s">
        <v>1414</v>
      </c>
      <c r="M200" t="s">
        <v>1413</v>
      </c>
      <c r="N200" t="s">
        <v>963</v>
      </c>
    </row>
    <row r="201" spans="1:14">
      <c r="A201" t="s">
        <v>1410</v>
      </c>
      <c r="B201" s="26">
        <v>41902</v>
      </c>
      <c r="C201" s="26">
        <v>41902</v>
      </c>
      <c r="D201" t="s">
        <v>939</v>
      </c>
      <c r="E201" s="26"/>
      <c r="G201">
        <v>2013</v>
      </c>
      <c r="H201" t="s">
        <v>1411</v>
      </c>
      <c r="I201" t="s">
        <v>41</v>
      </c>
      <c r="J201" t="s">
        <v>156</v>
      </c>
      <c r="K201" t="s">
        <v>953</v>
      </c>
      <c r="L201" t="s">
        <v>1414</v>
      </c>
      <c r="M201" t="s">
        <v>1413</v>
      </c>
      <c r="N201" t="s">
        <v>963</v>
      </c>
    </row>
    <row r="202" spans="1:14">
      <c r="A202" t="s">
        <v>1410</v>
      </c>
      <c r="B202" s="26">
        <v>41902</v>
      </c>
      <c r="C202" s="26">
        <v>41902</v>
      </c>
      <c r="D202" t="s">
        <v>939</v>
      </c>
      <c r="E202" s="26"/>
      <c r="G202">
        <v>2013</v>
      </c>
      <c r="H202" t="s">
        <v>1411</v>
      </c>
      <c r="I202" t="s">
        <v>41</v>
      </c>
      <c r="J202" t="s">
        <v>41</v>
      </c>
      <c r="K202" t="s">
        <v>953</v>
      </c>
      <c r="L202" t="s">
        <v>1412</v>
      </c>
      <c r="M202" t="s">
        <v>1413</v>
      </c>
      <c r="N202" t="s">
        <v>963</v>
      </c>
    </row>
    <row r="203" spans="1:14">
      <c r="A203" t="s">
        <v>1410</v>
      </c>
      <c r="B203" s="26">
        <v>41902</v>
      </c>
      <c r="C203" s="26">
        <v>41902</v>
      </c>
      <c r="D203" t="s">
        <v>939</v>
      </c>
      <c r="E203" s="26"/>
      <c r="G203">
        <v>2013</v>
      </c>
      <c r="H203" t="s">
        <v>1411</v>
      </c>
      <c r="I203" t="s">
        <v>41</v>
      </c>
      <c r="J203" t="s">
        <v>41</v>
      </c>
      <c r="K203" t="s">
        <v>953</v>
      </c>
      <c r="L203" t="s">
        <v>1412</v>
      </c>
      <c r="M203" t="s">
        <v>1413</v>
      </c>
      <c r="N203" t="s">
        <v>963</v>
      </c>
    </row>
    <row r="204" spans="1:14">
      <c r="A204" t="s">
        <v>1410</v>
      </c>
      <c r="B204" s="26">
        <v>41902</v>
      </c>
      <c r="C204" s="26">
        <v>41902</v>
      </c>
      <c r="D204" t="s">
        <v>939</v>
      </c>
      <c r="E204" s="26"/>
      <c r="G204">
        <v>2013</v>
      </c>
      <c r="H204" t="s">
        <v>1411</v>
      </c>
      <c r="I204" t="s">
        <v>41</v>
      </c>
      <c r="J204" t="s">
        <v>156</v>
      </c>
      <c r="K204" t="s">
        <v>953</v>
      </c>
      <c r="L204" t="s">
        <v>1414</v>
      </c>
      <c r="M204" t="s">
        <v>1413</v>
      </c>
      <c r="N204" t="s">
        <v>963</v>
      </c>
    </row>
    <row r="205" spans="1:14">
      <c r="A205" t="s">
        <v>1410</v>
      </c>
      <c r="B205" s="26">
        <v>41902</v>
      </c>
      <c r="C205" s="26">
        <v>41902</v>
      </c>
      <c r="D205" t="s">
        <v>939</v>
      </c>
      <c r="E205" s="26"/>
      <c r="G205">
        <v>2013</v>
      </c>
      <c r="H205" t="s">
        <v>1411</v>
      </c>
      <c r="I205" t="s">
        <v>41</v>
      </c>
      <c r="J205" t="s">
        <v>156</v>
      </c>
      <c r="K205" t="s">
        <v>953</v>
      </c>
      <c r="L205" t="s">
        <v>1414</v>
      </c>
      <c r="M205" t="s">
        <v>1413</v>
      </c>
      <c r="N205" t="s">
        <v>963</v>
      </c>
    </row>
    <row r="206" spans="1:14">
      <c r="A206" t="s">
        <v>1410</v>
      </c>
      <c r="B206" s="26">
        <v>41902</v>
      </c>
      <c r="C206" s="26">
        <v>41902</v>
      </c>
      <c r="D206" t="s">
        <v>939</v>
      </c>
      <c r="E206" s="26"/>
      <c r="G206">
        <v>2013</v>
      </c>
      <c r="H206" t="s">
        <v>1411</v>
      </c>
      <c r="I206" t="s">
        <v>41</v>
      </c>
      <c r="J206" t="s">
        <v>156</v>
      </c>
      <c r="K206" t="s">
        <v>953</v>
      </c>
      <c r="L206" t="s">
        <v>1415</v>
      </c>
      <c r="M206" t="s">
        <v>1413</v>
      </c>
      <c r="N206" t="s">
        <v>963</v>
      </c>
    </row>
    <row r="207" spans="1:14">
      <c r="A207" t="s">
        <v>1410</v>
      </c>
      <c r="B207" s="26">
        <v>41902</v>
      </c>
      <c r="C207" s="26">
        <v>41902</v>
      </c>
      <c r="D207" t="s">
        <v>939</v>
      </c>
      <c r="E207" s="26"/>
      <c r="G207">
        <v>2013</v>
      </c>
      <c r="H207" t="s">
        <v>1411</v>
      </c>
      <c r="I207" t="s">
        <v>41</v>
      </c>
      <c r="J207" t="s">
        <v>41</v>
      </c>
      <c r="K207" t="s">
        <v>953</v>
      </c>
      <c r="L207" t="s">
        <v>1412</v>
      </c>
      <c r="M207" t="s">
        <v>1413</v>
      </c>
      <c r="N207" t="s">
        <v>963</v>
      </c>
    </row>
    <row r="208" spans="1:14">
      <c r="A208" t="s">
        <v>1410</v>
      </c>
      <c r="B208" s="26">
        <v>41902</v>
      </c>
      <c r="C208" s="26">
        <v>41902</v>
      </c>
      <c r="D208" t="s">
        <v>939</v>
      </c>
      <c r="E208" s="26"/>
      <c r="G208">
        <v>2013</v>
      </c>
      <c r="H208" t="s">
        <v>1411</v>
      </c>
      <c r="I208" t="s">
        <v>41</v>
      </c>
      <c r="J208" t="s">
        <v>156</v>
      </c>
      <c r="K208" t="s">
        <v>953</v>
      </c>
      <c r="L208" t="s">
        <v>1415</v>
      </c>
      <c r="M208" t="s">
        <v>1413</v>
      </c>
      <c r="N208" t="s">
        <v>963</v>
      </c>
    </row>
    <row r="209" spans="1:17">
      <c r="A209" t="s">
        <v>1416</v>
      </c>
      <c r="B209" s="26">
        <v>42607</v>
      </c>
      <c r="C209" s="26">
        <v>42607</v>
      </c>
      <c r="D209" t="s">
        <v>939</v>
      </c>
      <c r="E209" s="26"/>
      <c r="G209">
        <v>2015</v>
      </c>
      <c r="H209" t="s">
        <v>1417</v>
      </c>
      <c r="I209" t="s">
        <v>41</v>
      </c>
      <c r="J209" t="s">
        <v>41</v>
      </c>
      <c r="K209">
        <v>2892562</v>
      </c>
      <c r="L209" t="s">
        <v>1418</v>
      </c>
      <c r="M209" t="s">
        <v>1413</v>
      </c>
      <c r="N209" t="s">
        <v>963</v>
      </c>
      <c r="P209">
        <v>2892562</v>
      </c>
    </row>
    <row r="210" spans="1:17">
      <c r="A210" t="s">
        <v>1419</v>
      </c>
      <c r="B210" s="26">
        <v>42369</v>
      </c>
      <c r="C210" s="26">
        <v>42369</v>
      </c>
      <c r="D210" t="s">
        <v>939</v>
      </c>
      <c r="E210" s="26"/>
      <c r="G210">
        <v>2015</v>
      </c>
      <c r="H210" t="s">
        <v>1420</v>
      </c>
      <c r="I210" t="s">
        <v>33</v>
      </c>
      <c r="J210" t="s">
        <v>35</v>
      </c>
      <c r="K210">
        <v>929913</v>
      </c>
      <c r="L210" t="s">
        <v>1421</v>
      </c>
      <c r="M210" t="s">
        <v>1405</v>
      </c>
      <c r="N210" t="s">
        <v>1210</v>
      </c>
      <c r="O210">
        <v>929913</v>
      </c>
      <c r="P210">
        <v>929913</v>
      </c>
      <c r="Q210">
        <v>1000000</v>
      </c>
    </row>
    <row r="211" spans="1:17">
      <c r="A211" t="s">
        <v>1422</v>
      </c>
      <c r="B211" s="26">
        <v>42345</v>
      </c>
      <c r="C211" s="26">
        <v>42345</v>
      </c>
      <c r="D211" t="s">
        <v>939</v>
      </c>
      <c r="E211" s="26">
        <v>42346</v>
      </c>
      <c r="G211">
        <v>2015</v>
      </c>
      <c r="H211" t="s">
        <v>1423</v>
      </c>
      <c r="I211" t="s">
        <v>75</v>
      </c>
      <c r="J211" t="s">
        <v>75</v>
      </c>
      <c r="K211" t="s">
        <v>1424</v>
      </c>
      <c r="L211" t="s">
        <v>942</v>
      </c>
      <c r="M211" t="s">
        <v>943</v>
      </c>
      <c r="N211" t="s">
        <v>944</v>
      </c>
      <c r="O211" t="s">
        <v>1424</v>
      </c>
    </row>
    <row r="212" spans="1:17">
      <c r="A212" t="s">
        <v>1425</v>
      </c>
      <c r="B212" s="26">
        <v>42262</v>
      </c>
      <c r="C212" s="26">
        <v>42262</v>
      </c>
      <c r="D212" t="s">
        <v>939</v>
      </c>
      <c r="E212" s="26">
        <v>42262</v>
      </c>
      <c r="G212">
        <v>2015</v>
      </c>
      <c r="H212" t="s">
        <v>1426</v>
      </c>
      <c r="I212" t="s">
        <v>75</v>
      </c>
      <c r="J212" t="s">
        <v>75</v>
      </c>
      <c r="K212" t="s">
        <v>953</v>
      </c>
      <c r="L212" t="s">
        <v>942</v>
      </c>
      <c r="M212" t="s">
        <v>968</v>
      </c>
    </row>
    <row r="213" spans="1:17">
      <c r="A213" t="s">
        <v>1427</v>
      </c>
      <c r="B213" s="26">
        <v>43602</v>
      </c>
      <c r="C213" s="26">
        <v>43602</v>
      </c>
      <c r="D213" t="s">
        <v>939</v>
      </c>
      <c r="E213" s="26">
        <v>43605</v>
      </c>
      <c r="G213">
        <v>2019</v>
      </c>
      <c r="H213" t="s">
        <v>1428</v>
      </c>
      <c r="I213" t="s">
        <v>75</v>
      </c>
      <c r="J213" t="s">
        <v>75</v>
      </c>
      <c r="K213" t="s">
        <v>1429</v>
      </c>
      <c r="L213" t="s">
        <v>967</v>
      </c>
      <c r="M213" t="s">
        <v>1005</v>
      </c>
      <c r="N213" t="s">
        <v>963</v>
      </c>
      <c r="O213" t="s">
        <v>1429</v>
      </c>
    </row>
    <row r="214" spans="1:17">
      <c r="A214" t="s">
        <v>1430</v>
      </c>
      <c r="B214" s="26">
        <v>43955</v>
      </c>
      <c r="C214" s="26">
        <v>43955</v>
      </c>
      <c r="D214" t="s">
        <v>939</v>
      </c>
      <c r="E214" s="26">
        <v>43955</v>
      </c>
      <c r="G214">
        <v>2020</v>
      </c>
      <c r="H214" t="s">
        <v>1137</v>
      </c>
      <c r="I214" t="s">
        <v>75</v>
      </c>
      <c r="J214" t="s">
        <v>75</v>
      </c>
      <c r="K214" t="s">
        <v>1431</v>
      </c>
      <c r="L214" t="s">
        <v>967</v>
      </c>
      <c r="M214" t="s">
        <v>968</v>
      </c>
      <c r="O214" t="s">
        <v>1431</v>
      </c>
    </row>
    <row r="215" spans="1:17">
      <c r="A215" t="s">
        <v>1432</v>
      </c>
      <c r="B215" s="26">
        <v>44004</v>
      </c>
      <c r="C215" s="26">
        <v>44004</v>
      </c>
      <c r="D215" t="s">
        <v>939</v>
      </c>
      <c r="E215" s="26">
        <v>44004</v>
      </c>
      <c r="G215">
        <v>2020</v>
      </c>
      <c r="H215" t="s">
        <v>1433</v>
      </c>
      <c r="I215" t="s">
        <v>75</v>
      </c>
      <c r="J215" t="s">
        <v>75</v>
      </c>
      <c r="K215" t="s">
        <v>1434</v>
      </c>
      <c r="L215" t="s">
        <v>967</v>
      </c>
      <c r="M215" t="s">
        <v>968</v>
      </c>
      <c r="O215" t="s">
        <v>1434</v>
      </c>
    </row>
    <row r="216" spans="1:17">
      <c r="A216" t="s">
        <v>1435</v>
      </c>
      <c r="B216" s="26">
        <v>41788</v>
      </c>
      <c r="C216" s="26">
        <v>41788</v>
      </c>
      <c r="D216" t="s">
        <v>939</v>
      </c>
      <c r="E216" s="26">
        <v>41788</v>
      </c>
      <c r="G216">
        <v>2014</v>
      </c>
      <c r="H216" t="s">
        <v>1436</v>
      </c>
      <c r="I216" t="s">
        <v>75</v>
      </c>
      <c r="J216" t="s">
        <v>75</v>
      </c>
      <c r="K216" t="s">
        <v>1437</v>
      </c>
      <c r="L216" t="s">
        <v>942</v>
      </c>
      <c r="M216" t="s">
        <v>943</v>
      </c>
      <c r="N216" t="s">
        <v>944</v>
      </c>
      <c r="O216" t="s">
        <v>1437</v>
      </c>
    </row>
    <row r="217" spans="1:17">
      <c r="A217" t="s">
        <v>1438</v>
      </c>
      <c r="B217" s="26">
        <v>41787</v>
      </c>
      <c r="C217" s="26">
        <v>41787</v>
      </c>
      <c r="D217" t="s">
        <v>939</v>
      </c>
      <c r="E217" s="26">
        <v>41788</v>
      </c>
      <c r="G217">
        <v>2014</v>
      </c>
      <c r="H217" t="s">
        <v>1439</v>
      </c>
      <c r="I217" t="s">
        <v>75</v>
      </c>
      <c r="J217" t="s">
        <v>75</v>
      </c>
      <c r="K217" t="s">
        <v>1440</v>
      </c>
      <c r="L217" t="s">
        <v>942</v>
      </c>
      <c r="M217" t="s">
        <v>943</v>
      </c>
      <c r="N217" t="s">
        <v>944</v>
      </c>
      <c r="O217" t="s">
        <v>1440</v>
      </c>
    </row>
    <row r="218" spans="1:17">
      <c r="A218" t="s">
        <v>1441</v>
      </c>
      <c r="B218" s="26">
        <v>42549</v>
      </c>
      <c r="C218" s="26">
        <v>42549</v>
      </c>
      <c r="D218" t="s">
        <v>939</v>
      </c>
      <c r="E218" s="26">
        <v>42550</v>
      </c>
      <c r="G218">
        <v>2016</v>
      </c>
      <c r="H218" t="s">
        <v>1442</v>
      </c>
      <c r="I218" t="s">
        <v>75</v>
      </c>
      <c r="J218" t="s">
        <v>75</v>
      </c>
      <c r="K218" t="s">
        <v>953</v>
      </c>
      <c r="L218" t="s">
        <v>942</v>
      </c>
      <c r="M218" t="s">
        <v>943</v>
      </c>
      <c r="N218" t="s">
        <v>944</v>
      </c>
    </row>
    <row r="219" spans="1:17">
      <c r="A219" t="s">
        <v>1443</v>
      </c>
      <c r="B219" s="26">
        <v>44068</v>
      </c>
      <c r="C219" s="26">
        <v>44068</v>
      </c>
      <c r="D219" t="s">
        <v>939</v>
      </c>
      <c r="E219" s="26">
        <v>44068</v>
      </c>
      <c r="G219">
        <v>2020</v>
      </c>
      <c r="H219" t="s">
        <v>1444</v>
      </c>
      <c r="I219" t="s">
        <v>75</v>
      </c>
      <c r="J219" t="s">
        <v>75</v>
      </c>
      <c r="K219" t="s">
        <v>953</v>
      </c>
      <c r="L219" t="s">
        <v>967</v>
      </c>
      <c r="M219" t="s">
        <v>943</v>
      </c>
      <c r="N219" t="s">
        <v>944</v>
      </c>
    </row>
    <row r="220" spans="1:17">
      <c r="A220" t="s">
        <v>1445</v>
      </c>
      <c r="B220" s="26">
        <v>42346</v>
      </c>
      <c r="C220" s="26">
        <v>42346</v>
      </c>
      <c r="D220" t="s">
        <v>939</v>
      </c>
      <c r="E220" s="26">
        <v>42346</v>
      </c>
      <c r="G220">
        <v>2015</v>
      </c>
      <c r="H220" t="s">
        <v>1026</v>
      </c>
      <c r="I220" t="s">
        <v>75</v>
      </c>
      <c r="J220" t="s">
        <v>75</v>
      </c>
      <c r="K220" t="s">
        <v>1446</v>
      </c>
      <c r="L220" t="s">
        <v>942</v>
      </c>
      <c r="M220" t="s">
        <v>943</v>
      </c>
      <c r="N220" t="s">
        <v>944</v>
      </c>
      <c r="O220" t="s">
        <v>1446</v>
      </c>
    </row>
    <row r="221" spans="1:17">
      <c r="A221" t="s">
        <v>1447</v>
      </c>
      <c r="B221" s="26">
        <v>42613</v>
      </c>
      <c r="C221" s="26">
        <v>42613</v>
      </c>
      <c r="D221" t="s">
        <v>939</v>
      </c>
      <c r="E221" s="26">
        <v>42613</v>
      </c>
      <c r="G221">
        <v>2016</v>
      </c>
      <c r="H221" t="s">
        <v>1423</v>
      </c>
      <c r="I221" t="s">
        <v>75</v>
      </c>
      <c r="J221" t="s">
        <v>75</v>
      </c>
      <c r="K221">
        <v>104187</v>
      </c>
      <c r="L221" t="s">
        <v>942</v>
      </c>
      <c r="M221" t="s">
        <v>968</v>
      </c>
      <c r="O221">
        <v>104187</v>
      </c>
    </row>
    <row r="222" spans="1:17">
      <c r="A222" t="s">
        <v>1448</v>
      </c>
      <c r="B222" s="26">
        <v>42465</v>
      </c>
      <c r="C222" s="26">
        <v>42465</v>
      </c>
      <c r="D222" t="s">
        <v>939</v>
      </c>
      <c r="E222" s="26">
        <v>42466</v>
      </c>
      <c r="G222">
        <v>2016</v>
      </c>
      <c r="H222" t="s">
        <v>1449</v>
      </c>
      <c r="I222" t="s">
        <v>75</v>
      </c>
      <c r="J222" t="s">
        <v>75</v>
      </c>
      <c r="K222" t="s">
        <v>1450</v>
      </c>
      <c r="L222" t="s">
        <v>942</v>
      </c>
      <c r="M222" t="s">
        <v>1036</v>
      </c>
      <c r="N222" t="s">
        <v>963</v>
      </c>
      <c r="O222" t="s">
        <v>1450</v>
      </c>
    </row>
    <row r="223" spans="1:17">
      <c r="A223" t="s">
        <v>1451</v>
      </c>
      <c r="B223" s="26">
        <v>42345</v>
      </c>
      <c r="C223" s="26">
        <v>42345</v>
      </c>
      <c r="D223" t="s">
        <v>939</v>
      </c>
      <c r="E223" s="26">
        <v>42346</v>
      </c>
      <c r="G223">
        <v>2015</v>
      </c>
      <c r="H223" t="s">
        <v>1452</v>
      </c>
      <c r="I223" t="s">
        <v>75</v>
      </c>
      <c r="J223" t="s">
        <v>75</v>
      </c>
      <c r="K223" t="s">
        <v>1453</v>
      </c>
      <c r="L223" t="s">
        <v>942</v>
      </c>
      <c r="M223" t="s">
        <v>943</v>
      </c>
      <c r="N223" t="s">
        <v>944</v>
      </c>
      <c r="O223" t="s">
        <v>1453</v>
      </c>
    </row>
    <row r="224" spans="1:17">
      <c r="A224" t="s">
        <v>1454</v>
      </c>
      <c r="B224" s="26">
        <v>42549</v>
      </c>
      <c r="C224" s="26">
        <v>42549</v>
      </c>
      <c r="D224" t="s">
        <v>939</v>
      </c>
      <c r="E224" s="26">
        <v>42550</v>
      </c>
      <c r="G224">
        <v>2016</v>
      </c>
      <c r="H224" t="s">
        <v>1455</v>
      </c>
      <c r="I224" t="s">
        <v>75</v>
      </c>
      <c r="J224" t="s">
        <v>75</v>
      </c>
      <c r="K224" t="s">
        <v>1456</v>
      </c>
      <c r="L224" t="s">
        <v>942</v>
      </c>
      <c r="M224" t="s">
        <v>943</v>
      </c>
      <c r="N224" t="s">
        <v>944</v>
      </c>
      <c r="O224" t="s">
        <v>1456</v>
      </c>
    </row>
    <row r="225" spans="1:15">
      <c r="A225" t="s">
        <v>1457</v>
      </c>
      <c r="B225" s="26">
        <v>42149</v>
      </c>
      <c r="C225" s="26">
        <v>42149</v>
      </c>
      <c r="D225" t="s">
        <v>939</v>
      </c>
      <c r="E225" s="26">
        <v>42149</v>
      </c>
      <c r="G225">
        <v>2015</v>
      </c>
      <c r="H225" t="s">
        <v>1102</v>
      </c>
      <c r="I225" t="s">
        <v>75</v>
      </c>
      <c r="J225" t="s">
        <v>75</v>
      </c>
      <c r="K225" t="s">
        <v>1458</v>
      </c>
      <c r="L225" t="s">
        <v>942</v>
      </c>
      <c r="M225" t="s">
        <v>968</v>
      </c>
      <c r="O225" t="s">
        <v>1458</v>
      </c>
    </row>
    <row r="226" spans="1:15">
      <c r="A226" t="s">
        <v>1459</v>
      </c>
      <c r="B226" s="26">
        <v>41586</v>
      </c>
      <c r="C226" s="26">
        <v>41586</v>
      </c>
      <c r="D226" t="s">
        <v>939</v>
      </c>
      <c r="E226" s="26">
        <v>41586</v>
      </c>
      <c r="G226">
        <v>2013</v>
      </c>
      <c r="H226" t="s">
        <v>1460</v>
      </c>
      <c r="I226" t="s">
        <v>75</v>
      </c>
      <c r="J226" t="s">
        <v>75</v>
      </c>
      <c r="K226">
        <v>210</v>
      </c>
      <c r="L226" t="s">
        <v>948</v>
      </c>
      <c r="M226" t="s">
        <v>943</v>
      </c>
      <c r="N226" t="s">
        <v>944</v>
      </c>
      <c r="O226">
        <v>210</v>
      </c>
    </row>
    <row r="227" spans="1:15">
      <c r="A227" t="s">
        <v>1461</v>
      </c>
      <c r="B227" s="26">
        <v>42453</v>
      </c>
      <c r="C227" s="26">
        <v>42453</v>
      </c>
      <c r="D227" t="s">
        <v>939</v>
      </c>
      <c r="E227" s="26">
        <v>42453</v>
      </c>
      <c r="G227">
        <v>2016</v>
      </c>
      <c r="H227" t="s">
        <v>1462</v>
      </c>
      <c r="I227" t="s">
        <v>75</v>
      </c>
      <c r="J227" t="s">
        <v>75</v>
      </c>
      <c r="K227" t="s">
        <v>1463</v>
      </c>
      <c r="L227" t="s">
        <v>942</v>
      </c>
      <c r="M227" t="s">
        <v>968</v>
      </c>
      <c r="O227" t="s">
        <v>1463</v>
      </c>
    </row>
    <row r="228" spans="1:15">
      <c r="A228" t="s">
        <v>1464</v>
      </c>
      <c r="B228" s="26">
        <v>42550</v>
      </c>
      <c r="C228" s="26">
        <v>42550</v>
      </c>
      <c r="D228" t="s">
        <v>939</v>
      </c>
      <c r="E228" s="26">
        <v>42550</v>
      </c>
      <c r="G228">
        <v>2016</v>
      </c>
      <c r="H228" t="s">
        <v>976</v>
      </c>
      <c r="I228" t="s">
        <v>75</v>
      </c>
      <c r="J228" t="s">
        <v>75</v>
      </c>
      <c r="K228" t="s">
        <v>953</v>
      </c>
      <c r="L228" t="s">
        <v>942</v>
      </c>
      <c r="M228" t="s">
        <v>943</v>
      </c>
      <c r="N228" t="s">
        <v>944</v>
      </c>
    </row>
    <row r="229" spans="1:15">
      <c r="A229" t="s">
        <v>1465</v>
      </c>
      <c r="B229" s="26">
        <v>42465</v>
      </c>
      <c r="C229" s="26">
        <v>42465</v>
      </c>
      <c r="D229" t="s">
        <v>939</v>
      </c>
      <c r="E229" s="26">
        <v>42466</v>
      </c>
      <c r="G229">
        <v>2016</v>
      </c>
      <c r="H229" t="s">
        <v>1466</v>
      </c>
      <c r="I229" t="s">
        <v>75</v>
      </c>
      <c r="J229" t="s">
        <v>75</v>
      </c>
      <c r="K229" t="s">
        <v>1467</v>
      </c>
      <c r="L229" t="s">
        <v>942</v>
      </c>
      <c r="M229" t="s">
        <v>1036</v>
      </c>
      <c r="N229" t="s">
        <v>963</v>
      </c>
      <c r="O229" t="s">
        <v>1467</v>
      </c>
    </row>
    <row r="230" spans="1:15">
      <c r="A230" t="s">
        <v>1468</v>
      </c>
      <c r="B230" s="26">
        <v>42549</v>
      </c>
      <c r="C230" s="26">
        <v>42549</v>
      </c>
      <c r="D230" t="s">
        <v>939</v>
      </c>
      <c r="E230" s="26">
        <v>42550</v>
      </c>
      <c r="G230">
        <v>2016</v>
      </c>
      <c r="H230" t="s">
        <v>1469</v>
      </c>
      <c r="I230" t="s">
        <v>75</v>
      </c>
      <c r="J230" t="s">
        <v>75</v>
      </c>
      <c r="K230" t="s">
        <v>1470</v>
      </c>
      <c r="L230" t="s">
        <v>942</v>
      </c>
      <c r="M230" t="s">
        <v>943</v>
      </c>
      <c r="N230" t="s">
        <v>944</v>
      </c>
      <c r="O230" t="s">
        <v>1470</v>
      </c>
    </row>
    <row r="231" spans="1:15">
      <c r="A231" t="s">
        <v>1471</v>
      </c>
      <c r="B231" s="26">
        <v>42346</v>
      </c>
      <c r="C231" s="26">
        <v>42346</v>
      </c>
      <c r="D231" t="s">
        <v>939</v>
      </c>
      <c r="E231" s="26">
        <v>42346</v>
      </c>
      <c r="G231">
        <v>2015</v>
      </c>
      <c r="H231" t="s">
        <v>1472</v>
      </c>
      <c r="I231" t="s">
        <v>75</v>
      </c>
      <c r="J231" t="s">
        <v>75</v>
      </c>
      <c r="K231" t="s">
        <v>1473</v>
      </c>
      <c r="L231" t="s">
        <v>942</v>
      </c>
      <c r="M231" t="s">
        <v>943</v>
      </c>
      <c r="N231" t="s">
        <v>944</v>
      </c>
      <c r="O231" t="s">
        <v>1473</v>
      </c>
    </row>
    <row r="232" spans="1:15">
      <c r="A232" t="s">
        <v>1474</v>
      </c>
      <c r="B232" s="26">
        <v>42549</v>
      </c>
      <c r="C232" s="26">
        <v>42549</v>
      </c>
      <c r="D232" t="s">
        <v>939</v>
      </c>
      <c r="E232" s="26">
        <v>42550</v>
      </c>
      <c r="G232">
        <v>2016</v>
      </c>
      <c r="H232" t="s">
        <v>957</v>
      </c>
      <c r="I232" t="s">
        <v>75</v>
      </c>
      <c r="J232" t="s">
        <v>75</v>
      </c>
      <c r="K232" t="s">
        <v>958</v>
      </c>
      <c r="L232" t="s">
        <v>942</v>
      </c>
      <c r="M232" t="s">
        <v>943</v>
      </c>
      <c r="N232" t="s">
        <v>944</v>
      </c>
      <c r="O232" t="s">
        <v>958</v>
      </c>
    </row>
    <row r="233" spans="1:15">
      <c r="A233" t="s">
        <v>1475</v>
      </c>
      <c r="B233" s="26">
        <v>43347</v>
      </c>
      <c r="C233" s="26">
        <v>43347</v>
      </c>
      <c r="D233" t="s">
        <v>939</v>
      </c>
      <c r="E233" s="26">
        <v>43347</v>
      </c>
      <c r="G233">
        <v>2018</v>
      </c>
      <c r="H233" t="s">
        <v>1476</v>
      </c>
      <c r="I233" t="s">
        <v>75</v>
      </c>
      <c r="J233" t="s">
        <v>75</v>
      </c>
      <c r="K233" t="s">
        <v>1477</v>
      </c>
      <c r="L233" t="s">
        <v>967</v>
      </c>
      <c r="M233" t="s">
        <v>968</v>
      </c>
      <c r="O233" t="s">
        <v>1477</v>
      </c>
    </row>
    <row r="234" spans="1:15">
      <c r="A234" t="s">
        <v>1478</v>
      </c>
      <c r="B234" s="26">
        <v>42549</v>
      </c>
      <c r="C234" s="26">
        <v>42549</v>
      </c>
      <c r="D234" t="s">
        <v>939</v>
      </c>
      <c r="E234" s="26">
        <v>42550</v>
      </c>
      <c r="G234">
        <v>2016</v>
      </c>
      <c r="H234" t="s">
        <v>1111</v>
      </c>
      <c r="I234" t="s">
        <v>75</v>
      </c>
      <c r="J234" t="s">
        <v>75</v>
      </c>
      <c r="K234" t="s">
        <v>1479</v>
      </c>
      <c r="L234" t="s">
        <v>942</v>
      </c>
      <c r="M234" t="s">
        <v>943</v>
      </c>
      <c r="N234" t="s">
        <v>944</v>
      </c>
      <c r="O234" t="s">
        <v>1479</v>
      </c>
    </row>
    <row r="235" spans="1:15">
      <c r="A235" t="s">
        <v>1480</v>
      </c>
      <c r="B235" s="26">
        <v>42550</v>
      </c>
      <c r="C235" s="26">
        <v>42550</v>
      </c>
      <c r="D235" t="s">
        <v>939</v>
      </c>
      <c r="E235" s="26">
        <v>42550</v>
      </c>
      <c r="G235">
        <v>2016</v>
      </c>
      <c r="H235" t="s">
        <v>1481</v>
      </c>
      <c r="I235" t="s">
        <v>75</v>
      </c>
      <c r="J235" t="s">
        <v>75</v>
      </c>
      <c r="K235" t="s">
        <v>953</v>
      </c>
      <c r="L235" t="s">
        <v>942</v>
      </c>
      <c r="M235" t="s">
        <v>943</v>
      </c>
      <c r="N235" t="s">
        <v>944</v>
      </c>
    </row>
    <row r="236" spans="1:15">
      <c r="A236" t="s">
        <v>1482</v>
      </c>
      <c r="B236" s="26">
        <v>43747</v>
      </c>
      <c r="C236" s="26">
        <v>43747</v>
      </c>
      <c r="D236" t="s">
        <v>939</v>
      </c>
      <c r="E236" s="26">
        <v>43747</v>
      </c>
      <c r="G236">
        <v>2019</v>
      </c>
      <c r="H236" t="s">
        <v>1483</v>
      </c>
      <c r="I236" t="s">
        <v>75</v>
      </c>
      <c r="J236" t="s">
        <v>75</v>
      </c>
      <c r="K236" t="s">
        <v>1185</v>
      </c>
      <c r="L236" t="s">
        <v>967</v>
      </c>
      <c r="M236" t="s">
        <v>1036</v>
      </c>
      <c r="N236" t="s">
        <v>963</v>
      </c>
      <c r="O236" t="s">
        <v>1185</v>
      </c>
    </row>
    <row r="237" spans="1:15">
      <c r="A237" t="s">
        <v>1484</v>
      </c>
      <c r="B237" s="26">
        <v>42549</v>
      </c>
      <c r="C237" s="26">
        <v>42549</v>
      </c>
      <c r="D237" t="s">
        <v>939</v>
      </c>
      <c r="E237" s="26">
        <v>42550</v>
      </c>
      <c r="G237">
        <v>2016</v>
      </c>
      <c r="H237" t="s">
        <v>1485</v>
      </c>
      <c r="I237" t="s">
        <v>75</v>
      </c>
      <c r="J237" t="s">
        <v>75</v>
      </c>
      <c r="K237" t="s">
        <v>953</v>
      </c>
      <c r="L237" t="s">
        <v>942</v>
      </c>
      <c r="M237" t="s">
        <v>943</v>
      </c>
      <c r="N237" t="s">
        <v>944</v>
      </c>
    </row>
    <row r="238" spans="1:15">
      <c r="A238" t="s">
        <v>1486</v>
      </c>
      <c r="B238" s="26">
        <v>42384</v>
      </c>
      <c r="C238" s="26">
        <v>42384</v>
      </c>
      <c r="D238" t="s">
        <v>939</v>
      </c>
      <c r="E238" s="26">
        <v>42384</v>
      </c>
      <c r="G238">
        <v>2016</v>
      </c>
      <c r="H238" t="s">
        <v>1487</v>
      </c>
      <c r="I238" t="s">
        <v>75</v>
      </c>
      <c r="J238" t="s">
        <v>75</v>
      </c>
      <c r="K238" t="s">
        <v>953</v>
      </c>
      <c r="L238" t="s">
        <v>942</v>
      </c>
      <c r="M238" t="s">
        <v>968</v>
      </c>
    </row>
    <row r="239" spans="1:15">
      <c r="A239" t="s">
        <v>1488</v>
      </c>
      <c r="B239" s="26">
        <v>42549</v>
      </c>
      <c r="C239" s="26">
        <v>42549</v>
      </c>
      <c r="D239" t="s">
        <v>939</v>
      </c>
      <c r="E239" s="26">
        <v>42550</v>
      </c>
      <c r="G239">
        <v>2016</v>
      </c>
      <c r="H239" t="s">
        <v>1489</v>
      </c>
      <c r="I239" t="s">
        <v>75</v>
      </c>
      <c r="J239" t="s">
        <v>75</v>
      </c>
      <c r="K239" t="s">
        <v>953</v>
      </c>
      <c r="L239" t="s">
        <v>942</v>
      </c>
      <c r="M239" t="s">
        <v>943</v>
      </c>
      <c r="N239" t="s">
        <v>944</v>
      </c>
    </row>
    <row r="240" spans="1:15">
      <c r="A240" t="s">
        <v>1490</v>
      </c>
      <c r="B240" s="26">
        <v>42549</v>
      </c>
      <c r="C240" s="26">
        <v>42549</v>
      </c>
      <c r="D240" t="s">
        <v>939</v>
      </c>
      <c r="E240" s="26">
        <v>42550</v>
      </c>
      <c r="G240">
        <v>2016</v>
      </c>
      <c r="H240" t="s">
        <v>1444</v>
      </c>
      <c r="I240" t="s">
        <v>75</v>
      </c>
      <c r="J240" t="s">
        <v>75</v>
      </c>
      <c r="K240" t="s">
        <v>1491</v>
      </c>
      <c r="L240" t="s">
        <v>942</v>
      </c>
      <c r="M240" t="s">
        <v>943</v>
      </c>
      <c r="N240" t="s">
        <v>944</v>
      </c>
      <c r="O240" t="s">
        <v>1491</v>
      </c>
    </row>
    <row r="241" spans="1:15">
      <c r="A241" t="s">
        <v>1492</v>
      </c>
      <c r="B241" s="26">
        <v>41159</v>
      </c>
      <c r="C241" s="26">
        <v>41159</v>
      </c>
      <c r="D241" t="s">
        <v>939</v>
      </c>
      <c r="E241" s="26">
        <v>41162</v>
      </c>
      <c r="G241">
        <v>2012</v>
      </c>
      <c r="H241" t="s">
        <v>1493</v>
      </c>
      <c r="I241" t="s">
        <v>75</v>
      </c>
      <c r="J241" t="s">
        <v>75</v>
      </c>
      <c r="K241" t="s">
        <v>953</v>
      </c>
      <c r="L241" t="s">
        <v>948</v>
      </c>
      <c r="M241" t="s">
        <v>1036</v>
      </c>
      <c r="N241" t="s">
        <v>963</v>
      </c>
    </row>
    <row r="242" spans="1:15">
      <c r="A242" t="s">
        <v>1494</v>
      </c>
      <c r="B242" s="26">
        <v>41787</v>
      </c>
      <c r="C242" s="26">
        <v>41787</v>
      </c>
      <c r="D242" t="s">
        <v>939</v>
      </c>
      <c r="E242" s="26">
        <v>41788</v>
      </c>
      <c r="G242">
        <v>2014</v>
      </c>
      <c r="H242" t="s">
        <v>1495</v>
      </c>
      <c r="I242" t="s">
        <v>75</v>
      </c>
      <c r="J242" t="s">
        <v>75</v>
      </c>
      <c r="K242" t="s">
        <v>953</v>
      </c>
      <c r="L242" t="s">
        <v>942</v>
      </c>
      <c r="M242" t="s">
        <v>943</v>
      </c>
      <c r="N242" t="s">
        <v>944</v>
      </c>
    </row>
    <row r="243" spans="1:15">
      <c r="A243" t="s">
        <v>1496</v>
      </c>
      <c r="B243" s="26">
        <v>42345</v>
      </c>
      <c r="C243" s="26">
        <v>42345</v>
      </c>
      <c r="D243" t="s">
        <v>939</v>
      </c>
      <c r="E243" s="26">
        <v>42346</v>
      </c>
      <c r="G243">
        <v>2015</v>
      </c>
      <c r="H243" t="s">
        <v>1497</v>
      </c>
      <c r="I243" t="s">
        <v>75</v>
      </c>
      <c r="J243" t="s">
        <v>75</v>
      </c>
      <c r="K243" t="s">
        <v>953</v>
      </c>
      <c r="L243" t="s">
        <v>942</v>
      </c>
      <c r="M243" t="s">
        <v>943</v>
      </c>
      <c r="N243" t="s">
        <v>944</v>
      </c>
    </row>
    <row r="244" spans="1:15">
      <c r="A244" t="s">
        <v>1498</v>
      </c>
      <c r="B244" s="26">
        <v>42549</v>
      </c>
      <c r="C244" s="26">
        <v>42549</v>
      </c>
      <c r="D244" t="s">
        <v>939</v>
      </c>
      <c r="E244" s="26">
        <v>42550</v>
      </c>
      <c r="G244">
        <v>2016</v>
      </c>
      <c r="H244" t="s">
        <v>1499</v>
      </c>
      <c r="I244" t="s">
        <v>75</v>
      </c>
      <c r="J244" t="s">
        <v>75</v>
      </c>
      <c r="K244" t="s">
        <v>953</v>
      </c>
      <c r="L244" t="s">
        <v>942</v>
      </c>
      <c r="M244" t="s">
        <v>943</v>
      </c>
      <c r="N244" t="s">
        <v>944</v>
      </c>
    </row>
    <row r="245" spans="1:15">
      <c r="A245" t="s">
        <v>1500</v>
      </c>
      <c r="B245" s="26">
        <v>43433</v>
      </c>
      <c r="C245" s="26">
        <v>43433</v>
      </c>
      <c r="D245" t="s">
        <v>939</v>
      </c>
      <c r="E245" s="26">
        <v>43433</v>
      </c>
      <c r="G245">
        <v>2018</v>
      </c>
      <c r="H245" t="s">
        <v>1501</v>
      </c>
      <c r="I245" t="s">
        <v>75</v>
      </c>
      <c r="J245" t="s">
        <v>75</v>
      </c>
      <c r="K245">
        <v>475</v>
      </c>
      <c r="L245" t="s">
        <v>948</v>
      </c>
      <c r="M245" t="s">
        <v>943</v>
      </c>
      <c r="N245" t="s">
        <v>944</v>
      </c>
      <c r="O245">
        <v>475</v>
      </c>
    </row>
    <row r="246" spans="1:15">
      <c r="A246" t="s">
        <v>1502</v>
      </c>
      <c r="B246" s="26">
        <v>42346</v>
      </c>
      <c r="C246" s="26">
        <v>42346</v>
      </c>
      <c r="D246" t="s">
        <v>939</v>
      </c>
      <c r="E246" s="26">
        <v>42346</v>
      </c>
      <c r="G246">
        <v>2015</v>
      </c>
      <c r="H246" t="s">
        <v>1503</v>
      </c>
      <c r="I246" t="s">
        <v>75</v>
      </c>
      <c r="J246" t="s">
        <v>75</v>
      </c>
      <c r="K246" t="s">
        <v>953</v>
      </c>
      <c r="L246" t="s">
        <v>942</v>
      </c>
      <c r="M246" t="s">
        <v>943</v>
      </c>
      <c r="N246" t="s">
        <v>944</v>
      </c>
    </row>
    <row r="247" spans="1:15">
      <c r="A247" t="s">
        <v>1504</v>
      </c>
      <c r="B247" s="26">
        <v>42549</v>
      </c>
      <c r="C247" s="26">
        <v>42549</v>
      </c>
      <c r="D247" t="s">
        <v>939</v>
      </c>
      <c r="E247" s="26">
        <v>42550</v>
      </c>
      <c r="G247">
        <v>2016</v>
      </c>
      <c r="H247" t="s">
        <v>1505</v>
      </c>
      <c r="I247" t="s">
        <v>75</v>
      </c>
      <c r="J247" t="s">
        <v>75</v>
      </c>
      <c r="K247" t="s">
        <v>953</v>
      </c>
      <c r="L247" t="s">
        <v>942</v>
      </c>
      <c r="M247" t="s">
        <v>943</v>
      </c>
      <c r="N247" t="s">
        <v>944</v>
      </c>
    </row>
    <row r="248" spans="1:15">
      <c r="A248" t="s">
        <v>1506</v>
      </c>
      <c r="B248" s="26">
        <v>42550</v>
      </c>
      <c r="C248" s="26">
        <v>42550</v>
      </c>
      <c r="D248" t="s">
        <v>939</v>
      </c>
      <c r="E248" s="26">
        <v>42550</v>
      </c>
      <c r="G248">
        <v>2016</v>
      </c>
      <c r="H248" t="s">
        <v>1507</v>
      </c>
      <c r="I248" t="s">
        <v>75</v>
      </c>
      <c r="J248" t="s">
        <v>75</v>
      </c>
      <c r="K248" t="s">
        <v>953</v>
      </c>
      <c r="L248" t="s">
        <v>942</v>
      </c>
      <c r="M248" t="s">
        <v>943</v>
      </c>
      <c r="N248" t="s">
        <v>944</v>
      </c>
    </row>
    <row r="249" spans="1:15">
      <c r="A249" t="s">
        <v>1508</v>
      </c>
      <c r="B249" s="26">
        <v>41787</v>
      </c>
      <c r="C249" s="26">
        <v>41787</v>
      </c>
      <c r="D249" t="s">
        <v>939</v>
      </c>
      <c r="E249" s="26">
        <v>41788</v>
      </c>
      <c r="G249">
        <v>2014</v>
      </c>
      <c r="H249" t="s">
        <v>1509</v>
      </c>
      <c r="I249" t="s">
        <v>75</v>
      </c>
      <c r="J249" t="s">
        <v>75</v>
      </c>
      <c r="K249" t="s">
        <v>953</v>
      </c>
      <c r="L249" t="s">
        <v>942</v>
      </c>
      <c r="M249" t="s">
        <v>943</v>
      </c>
      <c r="N249" t="s">
        <v>944</v>
      </c>
    </row>
    <row r="250" spans="1:15">
      <c r="A250" t="s">
        <v>1510</v>
      </c>
      <c r="B250" s="26">
        <v>42549</v>
      </c>
      <c r="C250" s="26">
        <v>42549</v>
      </c>
      <c r="D250" t="s">
        <v>939</v>
      </c>
      <c r="E250" s="26">
        <v>42550</v>
      </c>
      <c r="G250">
        <v>2016</v>
      </c>
      <c r="H250" t="s">
        <v>1511</v>
      </c>
      <c r="I250" t="s">
        <v>75</v>
      </c>
      <c r="J250" t="s">
        <v>75</v>
      </c>
      <c r="K250" t="s">
        <v>1512</v>
      </c>
      <c r="L250" t="s">
        <v>942</v>
      </c>
      <c r="M250" t="s">
        <v>943</v>
      </c>
      <c r="N250" t="s">
        <v>944</v>
      </c>
      <c r="O250" t="s">
        <v>1512</v>
      </c>
    </row>
    <row r="251" spans="1:15">
      <c r="A251" t="s">
        <v>1513</v>
      </c>
      <c r="B251" s="26">
        <v>42934</v>
      </c>
      <c r="C251" s="26">
        <v>42934</v>
      </c>
      <c r="D251" t="s">
        <v>939</v>
      </c>
      <c r="E251" s="26">
        <v>42934</v>
      </c>
      <c r="G251">
        <v>2017</v>
      </c>
      <c r="H251" t="s">
        <v>1514</v>
      </c>
      <c r="I251" t="s">
        <v>75</v>
      </c>
      <c r="J251" t="s">
        <v>75</v>
      </c>
      <c r="K251" t="s">
        <v>1515</v>
      </c>
      <c r="L251" t="s">
        <v>942</v>
      </c>
      <c r="M251" t="s">
        <v>968</v>
      </c>
      <c r="O251" t="s">
        <v>1515</v>
      </c>
    </row>
    <row r="252" spans="1:15">
      <c r="A252" t="s">
        <v>1516</v>
      </c>
      <c r="B252" s="26">
        <v>41787</v>
      </c>
      <c r="C252" s="26">
        <v>41787</v>
      </c>
      <c r="D252" t="s">
        <v>939</v>
      </c>
      <c r="E252" s="26">
        <v>41788</v>
      </c>
      <c r="G252">
        <v>2014</v>
      </c>
      <c r="H252" t="s">
        <v>1517</v>
      </c>
      <c r="I252" t="s">
        <v>75</v>
      </c>
      <c r="J252" t="s">
        <v>75</v>
      </c>
      <c r="K252" t="s">
        <v>953</v>
      </c>
      <c r="L252" t="s">
        <v>942</v>
      </c>
      <c r="M252" t="s">
        <v>943</v>
      </c>
      <c r="N252" t="s">
        <v>944</v>
      </c>
    </row>
    <row r="253" spans="1:15">
      <c r="A253" t="s">
        <v>1518</v>
      </c>
      <c r="B253" s="26">
        <v>42346</v>
      </c>
      <c r="C253" s="26">
        <v>42346</v>
      </c>
      <c r="D253" t="s">
        <v>939</v>
      </c>
      <c r="E253" s="26">
        <v>42346</v>
      </c>
      <c r="G253">
        <v>2015</v>
      </c>
      <c r="H253" t="s">
        <v>1519</v>
      </c>
      <c r="I253" t="s">
        <v>75</v>
      </c>
      <c r="J253" t="s">
        <v>75</v>
      </c>
      <c r="K253" t="s">
        <v>953</v>
      </c>
      <c r="L253" t="s">
        <v>942</v>
      </c>
      <c r="M253" t="s">
        <v>943</v>
      </c>
      <c r="N253" t="s">
        <v>944</v>
      </c>
    </row>
    <row r="254" spans="1:15">
      <c r="A254" t="s">
        <v>1520</v>
      </c>
      <c r="B254" s="26">
        <v>41586</v>
      </c>
      <c r="C254" s="26">
        <v>41586</v>
      </c>
      <c r="D254" t="s">
        <v>939</v>
      </c>
      <c r="E254" s="26">
        <v>41586</v>
      </c>
      <c r="G254">
        <v>2013</v>
      </c>
      <c r="H254" t="s">
        <v>1521</v>
      </c>
      <c r="I254" t="s">
        <v>75</v>
      </c>
      <c r="J254" t="s">
        <v>75</v>
      </c>
      <c r="K254" t="s">
        <v>953</v>
      </c>
      <c r="L254" t="s">
        <v>948</v>
      </c>
      <c r="M254" t="s">
        <v>943</v>
      </c>
      <c r="N254" t="s">
        <v>944</v>
      </c>
    </row>
    <row r="255" spans="1:15">
      <c r="A255" t="s">
        <v>1522</v>
      </c>
      <c r="B255" s="26">
        <v>42550</v>
      </c>
      <c r="C255" s="26">
        <v>42550</v>
      </c>
      <c r="D255" t="s">
        <v>939</v>
      </c>
      <c r="E255" s="26">
        <v>42550</v>
      </c>
      <c r="G255">
        <v>2016</v>
      </c>
      <c r="H255" t="s">
        <v>1523</v>
      </c>
      <c r="I255" t="s">
        <v>75</v>
      </c>
      <c r="J255" t="s">
        <v>75</v>
      </c>
      <c r="K255" t="s">
        <v>1524</v>
      </c>
      <c r="L255" t="s">
        <v>942</v>
      </c>
      <c r="M255" t="s">
        <v>943</v>
      </c>
      <c r="N255" t="s">
        <v>944</v>
      </c>
      <c r="O255" t="s">
        <v>1524</v>
      </c>
    </row>
    <row r="256" spans="1:15">
      <c r="A256" t="s">
        <v>1525</v>
      </c>
      <c r="B256" s="26">
        <v>42384</v>
      </c>
      <c r="C256" s="26">
        <v>42384</v>
      </c>
      <c r="D256" t="s">
        <v>939</v>
      </c>
      <c r="E256" s="26">
        <v>42384</v>
      </c>
      <c r="G256">
        <v>2016</v>
      </c>
      <c r="H256" t="s">
        <v>1526</v>
      </c>
      <c r="I256" t="s">
        <v>75</v>
      </c>
      <c r="J256" t="s">
        <v>75</v>
      </c>
      <c r="K256" t="s">
        <v>953</v>
      </c>
      <c r="L256" t="s">
        <v>942</v>
      </c>
      <c r="M256" t="s">
        <v>968</v>
      </c>
    </row>
    <row r="257" spans="1:15">
      <c r="A257" t="s">
        <v>1527</v>
      </c>
      <c r="B257" s="26">
        <v>42549</v>
      </c>
      <c r="C257" s="26">
        <v>42549</v>
      </c>
      <c r="D257" t="s">
        <v>939</v>
      </c>
      <c r="E257" s="26">
        <v>42550</v>
      </c>
      <c r="G257">
        <v>2016</v>
      </c>
      <c r="H257" t="s">
        <v>1528</v>
      </c>
      <c r="I257" t="s">
        <v>75</v>
      </c>
      <c r="J257" t="s">
        <v>75</v>
      </c>
      <c r="K257" t="s">
        <v>953</v>
      </c>
      <c r="L257" t="s">
        <v>942</v>
      </c>
      <c r="M257" t="s">
        <v>943</v>
      </c>
      <c r="N257" t="s">
        <v>944</v>
      </c>
    </row>
    <row r="258" spans="1:15">
      <c r="A258" t="s">
        <v>1529</v>
      </c>
      <c r="B258" s="26">
        <v>41586</v>
      </c>
      <c r="C258" s="26">
        <v>41586</v>
      </c>
      <c r="D258" t="s">
        <v>939</v>
      </c>
      <c r="E258" s="26">
        <v>41586</v>
      </c>
      <c r="G258">
        <v>2013</v>
      </c>
      <c r="H258" t="s">
        <v>1530</v>
      </c>
      <c r="I258" t="s">
        <v>75</v>
      </c>
      <c r="J258" t="s">
        <v>75</v>
      </c>
      <c r="K258" t="s">
        <v>953</v>
      </c>
      <c r="L258" t="s">
        <v>948</v>
      </c>
      <c r="M258" t="s">
        <v>943</v>
      </c>
      <c r="N258" t="s">
        <v>944</v>
      </c>
    </row>
    <row r="259" spans="1:15">
      <c r="A259" t="s">
        <v>1531</v>
      </c>
      <c r="B259" s="26">
        <v>42549</v>
      </c>
      <c r="C259" s="26">
        <v>42549</v>
      </c>
      <c r="D259" t="s">
        <v>939</v>
      </c>
      <c r="E259" s="26">
        <v>42550</v>
      </c>
      <c r="G259">
        <v>2016</v>
      </c>
      <c r="H259" t="s">
        <v>1532</v>
      </c>
      <c r="I259" t="s">
        <v>75</v>
      </c>
      <c r="J259" t="s">
        <v>75</v>
      </c>
      <c r="K259" t="s">
        <v>953</v>
      </c>
      <c r="L259" t="s">
        <v>942</v>
      </c>
      <c r="M259" t="s">
        <v>943</v>
      </c>
      <c r="N259" t="s">
        <v>944</v>
      </c>
    </row>
    <row r="260" spans="1:15">
      <c r="A260" t="s">
        <v>1533</v>
      </c>
      <c r="B260" s="26">
        <v>42549</v>
      </c>
      <c r="C260" s="26">
        <v>42549</v>
      </c>
      <c r="D260" t="s">
        <v>939</v>
      </c>
      <c r="E260" s="26">
        <v>42550</v>
      </c>
      <c r="G260">
        <v>2016</v>
      </c>
      <c r="H260" t="s">
        <v>1135</v>
      </c>
      <c r="I260" t="s">
        <v>75</v>
      </c>
      <c r="J260" t="s">
        <v>75</v>
      </c>
      <c r="K260" t="s">
        <v>953</v>
      </c>
      <c r="L260" t="s">
        <v>942</v>
      </c>
      <c r="M260" t="s">
        <v>943</v>
      </c>
      <c r="N260" t="s">
        <v>944</v>
      </c>
    </row>
    <row r="261" spans="1:15">
      <c r="A261" t="s">
        <v>1534</v>
      </c>
      <c r="B261" s="26">
        <v>42549</v>
      </c>
      <c r="C261" s="26">
        <v>42549</v>
      </c>
      <c r="D261" t="s">
        <v>939</v>
      </c>
      <c r="E261" s="26">
        <v>42550</v>
      </c>
      <c r="G261">
        <v>2016</v>
      </c>
      <c r="H261" t="s">
        <v>1535</v>
      </c>
      <c r="I261" t="s">
        <v>75</v>
      </c>
      <c r="J261" t="s">
        <v>75</v>
      </c>
      <c r="K261" t="s">
        <v>1536</v>
      </c>
      <c r="L261" t="s">
        <v>942</v>
      </c>
      <c r="M261" t="s">
        <v>943</v>
      </c>
      <c r="N261" t="s">
        <v>944</v>
      </c>
      <c r="O261" t="s">
        <v>1536</v>
      </c>
    </row>
    <row r="262" spans="1:15">
      <c r="A262" t="s">
        <v>1537</v>
      </c>
      <c r="B262" s="26">
        <v>41787</v>
      </c>
      <c r="C262" s="26">
        <v>41787</v>
      </c>
      <c r="D262" t="s">
        <v>939</v>
      </c>
      <c r="E262" s="26">
        <v>41788</v>
      </c>
      <c r="G262">
        <v>2014</v>
      </c>
      <c r="H262" t="s">
        <v>1538</v>
      </c>
      <c r="I262" t="s">
        <v>75</v>
      </c>
      <c r="J262" t="s">
        <v>75</v>
      </c>
      <c r="K262" t="s">
        <v>953</v>
      </c>
      <c r="L262" t="s">
        <v>942</v>
      </c>
      <c r="M262" t="s">
        <v>943</v>
      </c>
      <c r="N262" t="s">
        <v>944</v>
      </c>
    </row>
    <row r="263" spans="1:15">
      <c r="A263" t="s">
        <v>1539</v>
      </c>
      <c r="B263" s="26">
        <v>42550</v>
      </c>
      <c r="C263" s="26">
        <v>42550</v>
      </c>
      <c r="D263" t="s">
        <v>939</v>
      </c>
      <c r="E263" s="26">
        <v>42550</v>
      </c>
      <c r="G263">
        <v>2016</v>
      </c>
      <c r="H263" t="s">
        <v>1165</v>
      </c>
      <c r="I263" t="s">
        <v>75</v>
      </c>
      <c r="J263" t="s">
        <v>75</v>
      </c>
      <c r="K263" t="s">
        <v>953</v>
      </c>
      <c r="L263" t="s">
        <v>942</v>
      </c>
      <c r="M263" t="s">
        <v>943</v>
      </c>
      <c r="N263" t="s">
        <v>944</v>
      </c>
    </row>
    <row r="264" spans="1:15">
      <c r="A264" t="s">
        <v>1540</v>
      </c>
      <c r="B264" s="26">
        <v>42453</v>
      </c>
      <c r="C264" s="26">
        <v>42453</v>
      </c>
      <c r="D264" t="s">
        <v>939</v>
      </c>
      <c r="E264" s="26">
        <v>42453</v>
      </c>
      <c r="G264">
        <v>2016</v>
      </c>
      <c r="H264" t="s">
        <v>1541</v>
      </c>
      <c r="I264" t="s">
        <v>75</v>
      </c>
      <c r="J264" t="s">
        <v>75</v>
      </c>
      <c r="K264" t="s">
        <v>953</v>
      </c>
      <c r="L264" t="s">
        <v>942</v>
      </c>
      <c r="M264" t="s">
        <v>968</v>
      </c>
    </row>
    <row r="265" spans="1:15">
      <c r="A265" t="s">
        <v>1542</v>
      </c>
      <c r="B265" s="26">
        <v>41787</v>
      </c>
      <c r="C265" s="26">
        <v>41787</v>
      </c>
      <c r="D265" t="s">
        <v>939</v>
      </c>
      <c r="E265" s="26">
        <v>41788</v>
      </c>
      <c r="G265">
        <v>2014</v>
      </c>
      <c r="H265" t="s">
        <v>1543</v>
      </c>
      <c r="I265" t="s">
        <v>75</v>
      </c>
      <c r="J265" t="s">
        <v>75</v>
      </c>
      <c r="K265" t="s">
        <v>953</v>
      </c>
      <c r="L265" t="s">
        <v>942</v>
      </c>
      <c r="M265" t="s">
        <v>943</v>
      </c>
      <c r="N265" t="s">
        <v>944</v>
      </c>
    </row>
    <row r="266" spans="1:15">
      <c r="A266" t="s">
        <v>1544</v>
      </c>
      <c r="B266" s="26">
        <v>42698</v>
      </c>
      <c r="C266" s="26">
        <v>42698</v>
      </c>
      <c r="D266" t="s">
        <v>939</v>
      </c>
      <c r="E266" s="26">
        <v>42698</v>
      </c>
      <c r="G266">
        <v>2016</v>
      </c>
      <c r="H266" t="s">
        <v>1545</v>
      </c>
      <c r="I266" t="s">
        <v>75</v>
      </c>
      <c r="J266" t="s">
        <v>75</v>
      </c>
      <c r="K266">
        <v>2940385</v>
      </c>
      <c r="L266" t="s">
        <v>942</v>
      </c>
      <c r="M266" t="s">
        <v>943</v>
      </c>
      <c r="N266" t="s">
        <v>944</v>
      </c>
      <c r="O266">
        <v>2940385</v>
      </c>
    </row>
    <row r="267" spans="1:15">
      <c r="A267" t="s">
        <v>1546</v>
      </c>
      <c r="B267" s="26">
        <v>42549</v>
      </c>
      <c r="C267" s="26">
        <v>42549</v>
      </c>
      <c r="D267" t="s">
        <v>939</v>
      </c>
      <c r="E267" s="26">
        <v>42550</v>
      </c>
      <c r="G267">
        <v>2016</v>
      </c>
      <c r="H267" t="s">
        <v>1469</v>
      </c>
      <c r="I267" t="s">
        <v>75</v>
      </c>
      <c r="J267" t="s">
        <v>75</v>
      </c>
      <c r="K267" t="s">
        <v>1470</v>
      </c>
      <c r="L267" t="s">
        <v>942</v>
      </c>
      <c r="M267" t="s">
        <v>943</v>
      </c>
      <c r="N267" t="s">
        <v>944</v>
      </c>
      <c r="O267" t="s">
        <v>1470</v>
      </c>
    </row>
    <row r="268" spans="1:15">
      <c r="A268" t="s">
        <v>1547</v>
      </c>
      <c r="B268" s="26">
        <v>42550</v>
      </c>
      <c r="C268" s="26">
        <v>42550</v>
      </c>
      <c r="D268" t="s">
        <v>939</v>
      </c>
      <c r="E268" s="26">
        <v>42550</v>
      </c>
      <c r="G268">
        <v>2016</v>
      </c>
      <c r="H268" t="s">
        <v>1548</v>
      </c>
      <c r="I268" t="s">
        <v>75</v>
      </c>
      <c r="J268" t="s">
        <v>75</v>
      </c>
      <c r="K268" t="s">
        <v>953</v>
      </c>
      <c r="L268" t="s">
        <v>942</v>
      </c>
      <c r="M268" t="s">
        <v>943</v>
      </c>
      <c r="N268" t="s">
        <v>944</v>
      </c>
    </row>
    <row r="269" spans="1:15">
      <c r="A269" t="s">
        <v>1549</v>
      </c>
      <c r="B269" s="26">
        <v>44068</v>
      </c>
      <c r="C269" s="26">
        <v>44068</v>
      </c>
      <c r="D269" t="s">
        <v>939</v>
      </c>
      <c r="E269" s="26">
        <v>44068</v>
      </c>
      <c r="G269">
        <v>2020</v>
      </c>
      <c r="H269" t="s">
        <v>1550</v>
      </c>
      <c r="I269" t="s">
        <v>75</v>
      </c>
      <c r="J269" t="s">
        <v>75</v>
      </c>
      <c r="K269" t="s">
        <v>1551</v>
      </c>
      <c r="L269" t="s">
        <v>967</v>
      </c>
      <c r="M269" t="s">
        <v>943</v>
      </c>
      <c r="N269" t="s">
        <v>944</v>
      </c>
      <c r="O269" t="s">
        <v>1551</v>
      </c>
    </row>
    <row r="270" spans="1:15">
      <c r="A270" t="s">
        <v>1552</v>
      </c>
      <c r="B270" s="26">
        <v>43026</v>
      </c>
      <c r="C270" s="26">
        <v>43026</v>
      </c>
      <c r="D270" t="s">
        <v>939</v>
      </c>
      <c r="E270" s="26">
        <v>43026</v>
      </c>
      <c r="G270">
        <v>2017</v>
      </c>
      <c r="H270" t="s">
        <v>1553</v>
      </c>
      <c r="I270" t="s">
        <v>75</v>
      </c>
      <c r="J270" t="s">
        <v>75</v>
      </c>
      <c r="K270" t="s">
        <v>1554</v>
      </c>
      <c r="L270" t="s">
        <v>942</v>
      </c>
      <c r="M270" t="s">
        <v>968</v>
      </c>
      <c r="O270" t="s">
        <v>1554</v>
      </c>
    </row>
    <row r="271" spans="1:15">
      <c r="A271" t="s">
        <v>1555</v>
      </c>
      <c r="B271" s="26">
        <v>44068</v>
      </c>
      <c r="C271" s="26">
        <v>44068</v>
      </c>
      <c r="D271" t="s">
        <v>939</v>
      </c>
      <c r="E271" s="26">
        <v>44068</v>
      </c>
      <c r="G271">
        <v>2020</v>
      </c>
      <c r="H271" t="s">
        <v>1535</v>
      </c>
      <c r="I271" t="s">
        <v>75</v>
      </c>
      <c r="J271" t="s">
        <v>75</v>
      </c>
      <c r="K271" t="s">
        <v>1556</v>
      </c>
      <c r="L271" t="s">
        <v>967</v>
      </c>
      <c r="M271" t="s">
        <v>943</v>
      </c>
      <c r="N271" t="s">
        <v>944</v>
      </c>
      <c r="O271" t="s">
        <v>1556</v>
      </c>
    </row>
    <row r="272" spans="1:15">
      <c r="A272" t="s">
        <v>1557</v>
      </c>
      <c r="B272" s="26">
        <v>44068</v>
      </c>
      <c r="C272" s="26">
        <v>44068</v>
      </c>
      <c r="D272" t="s">
        <v>939</v>
      </c>
      <c r="E272" s="26">
        <v>44068</v>
      </c>
      <c r="G272">
        <v>2020</v>
      </c>
      <c r="H272" t="s">
        <v>1558</v>
      </c>
      <c r="I272" t="s">
        <v>75</v>
      </c>
      <c r="J272" t="s">
        <v>75</v>
      </c>
      <c r="K272" t="s">
        <v>1559</v>
      </c>
      <c r="L272" t="s">
        <v>967</v>
      </c>
      <c r="M272" t="s">
        <v>943</v>
      </c>
      <c r="N272" t="s">
        <v>944</v>
      </c>
      <c r="O272" t="s">
        <v>1559</v>
      </c>
    </row>
    <row r="273" spans="1:15">
      <c r="A273" t="s">
        <v>1560</v>
      </c>
      <c r="B273" s="26">
        <v>42549</v>
      </c>
      <c r="C273" s="26">
        <v>42549</v>
      </c>
      <c r="D273" t="s">
        <v>939</v>
      </c>
      <c r="E273" s="26">
        <v>42550</v>
      </c>
      <c r="G273">
        <v>2016</v>
      </c>
      <c r="H273" t="s">
        <v>1561</v>
      </c>
      <c r="I273" t="s">
        <v>75</v>
      </c>
      <c r="J273" t="s">
        <v>75</v>
      </c>
      <c r="K273" t="s">
        <v>953</v>
      </c>
      <c r="L273" t="s">
        <v>942</v>
      </c>
      <c r="M273" t="s">
        <v>943</v>
      </c>
      <c r="N273" t="s">
        <v>944</v>
      </c>
    </row>
    <row r="274" spans="1:15">
      <c r="A274" t="s">
        <v>1562</v>
      </c>
      <c r="B274" s="26">
        <v>42453</v>
      </c>
      <c r="C274" s="26">
        <v>42453</v>
      </c>
      <c r="D274" t="s">
        <v>939</v>
      </c>
      <c r="E274" s="26">
        <v>42453</v>
      </c>
      <c r="G274">
        <v>2016</v>
      </c>
      <c r="H274" t="s">
        <v>1563</v>
      </c>
      <c r="I274" t="s">
        <v>75</v>
      </c>
      <c r="J274" t="s">
        <v>75</v>
      </c>
      <c r="K274" t="s">
        <v>1061</v>
      </c>
      <c r="L274" t="s">
        <v>942</v>
      </c>
      <c r="M274" t="s">
        <v>968</v>
      </c>
      <c r="O274" t="s">
        <v>1061</v>
      </c>
    </row>
    <row r="275" spans="1:15">
      <c r="A275" t="s">
        <v>1564</v>
      </c>
      <c r="B275" s="26">
        <v>42549</v>
      </c>
      <c r="C275" s="26">
        <v>42549</v>
      </c>
      <c r="D275" t="s">
        <v>939</v>
      </c>
      <c r="E275" s="26">
        <v>42550</v>
      </c>
      <c r="G275">
        <v>2016</v>
      </c>
      <c r="H275" t="s">
        <v>1565</v>
      </c>
      <c r="I275" t="s">
        <v>75</v>
      </c>
      <c r="J275" t="s">
        <v>75</v>
      </c>
      <c r="K275" t="s">
        <v>953</v>
      </c>
      <c r="L275" t="s">
        <v>942</v>
      </c>
      <c r="M275" t="s">
        <v>943</v>
      </c>
      <c r="N275" t="s">
        <v>944</v>
      </c>
    </row>
    <row r="276" spans="1:15">
      <c r="A276" t="s">
        <v>1566</v>
      </c>
      <c r="B276" s="26">
        <v>42345</v>
      </c>
      <c r="C276" s="26">
        <v>42345</v>
      </c>
      <c r="D276" t="s">
        <v>939</v>
      </c>
      <c r="E276" s="26">
        <v>42346</v>
      </c>
      <c r="G276">
        <v>2015</v>
      </c>
      <c r="H276" t="s">
        <v>1567</v>
      </c>
      <c r="I276" t="s">
        <v>75</v>
      </c>
      <c r="J276" t="s">
        <v>75</v>
      </c>
      <c r="K276" t="s">
        <v>953</v>
      </c>
      <c r="L276" t="s">
        <v>942</v>
      </c>
      <c r="M276" t="s">
        <v>943</v>
      </c>
      <c r="N276" t="s">
        <v>944</v>
      </c>
    </row>
    <row r="277" spans="1:15">
      <c r="A277" t="s">
        <v>1568</v>
      </c>
      <c r="B277" s="26">
        <v>42549</v>
      </c>
      <c r="C277" s="26">
        <v>42549</v>
      </c>
      <c r="D277" t="s">
        <v>939</v>
      </c>
      <c r="E277" s="26">
        <v>42550</v>
      </c>
      <c r="G277">
        <v>2016</v>
      </c>
      <c r="H277" t="s">
        <v>1569</v>
      </c>
      <c r="I277" t="s">
        <v>75</v>
      </c>
      <c r="J277" t="s">
        <v>75</v>
      </c>
      <c r="K277" t="s">
        <v>1570</v>
      </c>
      <c r="L277" t="s">
        <v>942</v>
      </c>
      <c r="M277" t="s">
        <v>943</v>
      </c>
      <c r="N277" t="s">
        <v>944</v>
      </c>
      <c r="O277" t="s">
        <v>1570</v>
      </c>
    </row>
    <row r="278" spans="1:15">
      <c r="A278" t="s">
        <v>1571</v>
      </c>
      <c r="B278" s="26">
        <v>44068</v>
      </c>
      <c r="C278" s="26">
        <v>44068</v>
      </c>
      <c r="D278" t="s">
        <v>939</v>
      </c>
      <c r="E278" s="26">
        <v>44068</v>
      </c>
      <c r="G278">
        <v>2020</v>
      </c>
      <c r="H278" t="s">
        <v>1567</v>
      </c>
      <c r="I278" t="s">
        <v>75</v>
      </c>
      <c r="J278" t="s">
        <v>75</v>
      </c>
      <c r="K278" t="s">
        <v>953</v>
      </c>
      <c r="L278" t="s">
        <v>967</v>
      </c>
      <c r="M278" t="s">
        <v>943</v>
      </c>
      <c r="N278" t="s">
        <v>944</v>
      </c>
    </row>
    <row r="279" spans="1:15">
      <c r="A279" t="s">
        <v>1572</v>
      </c>
      <c r="B279" s="26">
        <v>42345</v>
      </c>
      <c r="C279" s="26">
        <v>42345</v>
      </c>
      <c r="D279" t="s">
        <v>939</v>
      </c>
      <c r="E279" s="26">
        <v>42346</v>
      </c>
      <c r="G279">
        <v>2015</v>
      </c>
      <c r="H279" t="s">
        <v>1573</v>
      </c>
      <c r="I279" t="s">
        <v>75</v>
      </c>
      <c r="J279" t="s">
        <v>75</v>
      </c>
      <c r="K279" t="s">
        <v>953</v>
      </c>
      <c r="L279" t="s">
        <v>942</v>
      </c>
      <c r="M279" t="s">
        <v>943</v>
      </c>
      <c r="N279" t="s">
        <v>944</v>
      </c>
    </row>
    <row r="280" spans="1:15">
      <c r="A280" t="s">
        <v>1574</v>
      </c>
      <c r="B280" s="26">
        <v>42453</v>
      </c>
      <c r="C280" s="26">
        <v>42453</v>
      </c>
      <c r="D280" t="s">
        <v>939</v>
      </c>
      <c r="E280" s="26">
        <v>42453</v>
      </c>
      <c r="G280">
        <v>2016</v>
      </c>
      <c r="H280" t="s">
        <v>1174</v>
      </c>
      <c r="I280" t="s">
        <v>75</v>
      </c>
      <c r="J280" t="s">
        <v>75</v>
      </c>
      <c r="K280" t="s">
        <v>1175</v>
      </c>
      <c r="L280" t="s">
        <v>942</v>
      </c>
      <c r="M280" t="s">
        <v>968</v>
      </c>
      <c r="O280" t="s">
        <v>1175</v>
      </c>
    </row>
    <row r="281" spans="1:15">
      <c r="A281" t="s">
        <v>1575</v>
      </c>
      <c r="B281" s="26">
        <v>43277</v>
      </c>
      <c r="C281" s="26">
        <v>43277</v>
      </c>
      <c r="D281" t="s">
        <v>939</v>
      </c>
      <c r="E281" s="26">
        <v>43277</v>
      </c>
      <c r="G281">
        <v>2018</v>
      </c>
      <c r="H281" t="s">
        <v>1576</v>
      </c>
      <c r="I281" t="s">
        <v>75</v>
      </c>
      <c r="J281" t="s">
        <v>75</v>
      </c>
      <c r="K281" t="s">
        <v>1577</v>
      </c>
      <c r="L281" t="s">
        <v>967</v>
      </c>
      <c r="M281" t="s">
        <v>968</v>
      </c>
      <c r="O281" t="s">
        <v>1577</v>
      </c>
    </row>
    <row r="282" spans="1:15">
      <c r="A282" t="s">
        <v>1578</v>
      </c>
      <c r="B282" s="26">
        <v>44068</v>
      </c>
      <c r="C282" s="26">
        <v>44068</v>
      </c>
      <c r="D282" t="s">
        <v>939</v>
      </c>
      <c r="E282" s="26">
        <v>44068</v>
      </c>
      <c r="G282">
        <v>2020</v>
      </c>
      <c r="H282" t="s">
        <v>1579</v>
      </c>
      <c r="I282" t="s">
        <v>75</v>
      </c>
      <c r="J282" t="s">
        <v>75</v>
      </c>
      <c r="K282" t="s">
        <v>1580</v>
      </c>
      <c r="L282" t="s">
        <v>967</v>
      </c>
      <c r="M282" t="s">
        <v>943</v>
      </c>
      <c r="N282" t="s">
        <v>944</v>
      </c>
      <c r="O282" t="s">
        <v>1580</v>
      </c>
    </row>
    <row r="283" spans="1:15">
      <c r="A283" t="s">
        <v>1581</v>
      </c>
      <c r="B283" s="26">
        <v>44068</v>
      </c>
      <c r="C283" s="26">
        <v>44068</v>
      </c>
      <c r="D283" t="s">
        <v>939</v>
      </c>
      <c r="E283" s="26">
        <v>44068</v>
      </c>
      <c r="G283">
        <v>2020</v>
      </c>
      <c r="H283" t="s">
        <v>1582</v>
      </c>
      <c r="I283" t="s">
        <v>75</v>
      </c>
      <c r="J283" t="s">
        <v>75</v>
      </c>
      <c r="K283" t="s">
        <v>953</v>
      </c>
      <c r="L283" t="s">
        <v>967</v>
      </c>
      <c r="M283" t="s">
        <v>943</v>
      </c>
      <c r="N283" t="s">
        <v>944</v>
      </c>
    </row>
    <row r="284" spans="1:15">
      <c r="A284" t="s">
        <v>1583</v>
      </c>
      <c r="B284" s="26">
        <v>44071</v>
      </c>
      <c r="C284" s="26">
        <v>44071</v>
      </c>
      <c r="D284" t="s">
        <v>939</v>
      </c>
      <c r="E284" s="26">
        <v>44074</v>
      </c>
      <c r="G284">
        <v>2020</v>
      </c>
      <c r="H284" t="s">
        <v>1584</v>
      </c>
      <c r="I284" t="s">
        <v>75</v>
      </c>
      <c r="J284" t="s">
        <v>75</v>
      </c>
      <c r="K284" t="s">
        <v>1585</v>
      </c>
      <c r="L284" t="s">
        <v>967</v>
      </c>
      <c r="M284" t="s">
        <v>1005</v>
      </c>
      <c r="N284" t="s">
        <v>963</v>
      </c>
      <c r="O284" t="s">
        <v>1585</v>
      </c>
    </row>
    <row r="285" spans="1:15">
      <c r="A285" t="s">
        <v>1586</v>
      </c>
      <c r="B285" s="26">
        <v>41787</v>
      </c>
      <c r="C285" s="26">
        <v>41787</v>
      </c>
      <c r="D285" t="s">
        <v>939</v>
      </c>
      <c r="E285" s="26">
        <v>41788</v>
      </c>
      <c r="G285">
        <v>2014</v>
      </c>
      <c r="H285" t="s">
        <v>1587</v>
      </c>
      <c r="I285" t="s">
        <v>75</v>
      </c>
      <c r="J285" t="s">
        <v>75</v>
      </c>
      <c r="K285" t="s">
        <v>953</v>
      </c>
      <c r="L285" t="s">
        <v>942</v>
      </c>
      <c r="M285" t="s">
        <v>943</v>
      </c>
      <c r="N285" t="s">
        <v>944</v>
      </c>
    </row>
    <row r="286" spans="1:15">
      <c r="A286" t="s">
        <v>1588</v>
      </c>
      <c r="B286" s="26">
        <v>42549</v>
      </c>
      <c r="C286" s="26">
        <v>42549</v>
      </c>
      <c r="D286" t="s">
        <v>939</v>
      </c>
      <c r="E286" s="26">
        <v>42550</v>
      </c>
      <c r="G286">
        <v>2016</v>
      </c>
      <c r="H286" t="s">
        <v>1589</v>
      </c>
      <c r="I286" t="s">
        <v>75</v>
      </c>
      <c r="J286" t="s">
        <v>75</v>
      </c>
      <c r="K286" t="s">
        <v>953</v>
      </c>
      <c r="L286" t="s">
        <v>942</v>
      </c>
      <c r="M286" t="s">
        <v>943</v>
      </c>
      <c r="N286" t="s">
        <v>944</v>
      </c>
    </row>
    <row r="287" spans="1:15">
      <c r="A287" t="s">
        <v>1590</v>
      </c>
      <c r="B287" s="26">
        <v>42550</v>
      </c>
      <c r="C287" s="26">
        <v>42550</v>
      </c>
      <c r="D287" t="s">
        <v>939</v>
      </c>
      <c r="E287" s="26">
        <v>42550</v>
      </c>
      <c r="G287">
        <v>2016</v>
      </c>
      <c r="H287" t="s">
        <v>1591</v>
      </c>
      <c r="I287" t="s">
        <v>75</v>
      </c>
      <c r="J287" t="s">
        <v>75</v>
      </c>
      <c r="K287" t="s">
        <v>953</v>
      </c>
      <c r="L287" t="s">
        <v>942</v>
      </c>
      <c r="M287" t="s">
        <v>943</v>
      </c>
      <c r="N287" t="s">
        <v>944</v>
      </c>
    </row>
    <row r="288" spans="1:15">
      <c r="A288" t="s">
        <v>1592</v>
      </c>
      <c r="B288" s="26">
        <v>43245</v>
      </c>
      <c r="C288" s="26">
        <v>43245</v>
      </c>
      <c r="D288" t="s">
        <v>939</v>
      </c>
      <c r="E288" s="26">
        <v>43245</v>
      </c>
      <c r="G288">
        <v>2018</v>
      </c>
      <c r="H288" t="s">
        <v>1593</v>
      </c>
      <c r="I288" t="s">
        <v>75</v>
      </c>
      <c r="J288" t="s">
        <v>75</v>
      </c>
      <c r="K288" t="s">
        <v>953</v>
      </c>
      <c r="L288" t="s">
        <v>967</v>
      </c>
      <c r="M288" t="s">
        <v>943</v>
      </c>
      <c r="N288" t="s">
        <v>944</v>
      </c>
    </row>
    <row r="289" spans="1:17">
      <c r="A289" t="s">
        <v>1594</v>
      </c>
      <c r="B289" s="26">
        <v>42453</v>
      </c>
      <c r="C289" s="26">
        <v>42453</v>
      </c>
      <c r="D289" t="s">
        <v>939</v>
      </c>
      <c r="E289" s="26">
        <v>42453</v>
      </c>
      <c r="G289">
        <v>2016</v>
      </c>
      <c r="H289" t="s">
        <v>1595</v>
      </c>
      <c r="I289" t="s">
        <v>75</v>
      </c>
      <c r="J289" t="s">
        <v>75</v>
      </c>
      <c r="K289" t="s">
        <v>953</v>
      </c>
      <c r="L289" t="s">
        <v>942</v>
      </c>
      <c r="M289" t="s">
        <v>968</v>
      </c>
    </row>
    <row r="290" spans="1:17">
      <c r="A290" t="s">
        <v>1596</v>
      </c>
      <c r="B290" s="26">
        <v>43277</v>
      </c>
      <c r="C290" s="26">
        <v>43277</v>
      </c>
      <c r="D290" t="s">
        <v>939</v>
      </c>
      <c r="E290" s="26">
        <v>43277</v>
      </c>
      <c r="G290">
        <v>2018</v>
      </c>
      <c r="H290" t="s">
        <v>1597</v>
      </c>
      <c r="I290" t="s">
        <v>75</v>
      </c>
      <c r="J290" t="s">
        <v>75</v>
      </c>
      <c r="K290" t="s">
        <v>953</v>
      </c>
      <c r="L290" t="s">
        <v>967</v>
      </c>
      <c r="M290" t="s">
        <v>968</v>
      </c>
    </row>
    <row r="291" spans="1:17">
      <c r="A291" t="s">
        <v>1598</v>
      </c>
      <c r="B291" s="26">
        <v>43144</v>
      </c>
      <c r="C291" s="26">
        <v>43144</v>
      </c>
      <c r="D291" t="s">
        <v>939</v>
      </c>
      <c r="E291" s="26">
        <v>43144</v>
      </c>
      <c r="G291">
        <v>2018</v>
      </c>
      <c r="H291" t="s">
        <v>1599</v>
      </c>
      <c r="I291" t="s">
        <v>75</v>
      </c>
      <c r="J291" t="s">
        <v>75</v>
      </c>
      <c r="K291" t="s">
        <v>1600</v>
      </c>
      <c r="L291" t="s">
        <v>942</v>
      </c>
      <c r="M291" t="s">
        <v>943</v>
      </c>
      <c r="N291" t="s">
        <v>944</v>
      </c>
      <c r="O291" t="s">
        <v>1600</v>
      </c>
    </row>
    <row r="292" spans="1:17">
      <c r="A292" t="s">
        <v>1601</v>
      </c>
      <c r="B292" s="26">
        <v>44756</v>
      </c>
      <c r="C292" s="26">
        <v>44756</v>
      </c>
      <c r="D292" t="s">
        <v>939</v>
      </c>
      <c r="E292" s="26"/>
      <c r="G292">
        <v>2022</v>
      </c>
      <c r="H292" t="s">
        <v>1602</v>
      </c>
      <c r="I292" t="s">
        <v>75</v>
      </c>
      <c r="J292" t="s">
        <v>75</v>
      </c>
      <c r="K292" t="s">
        <v>1603</v>
      </c>
      <c r="L292" t="s">
        <v>1204</v>
      </c>
      <c r="M292" t="s">
        <v>1005</v>
      </c>
      <c r="N292" t="s">
        <v>963</v>
      </c>
      <c r="P292" t="s">
        <v>1603</v>
      </c>
      <c r="Q292" t="s">
        <v>1603</v>
      </c>
    </row>
    <row r="293" spans="1:17">
      <c r="A293" t="s">
        <v>1604</v>
      </c>
      <c r="B293" s="26">
        <v>42550</v>
      </c>
      <c r="C293" s="26">
        <v>42550</v>
      </c>
      <c r="D293" t="s">
        <v>939</v>
      </c>
      <c r="E293" s="26">
        <v>42550</v>
      </c>
      <c r="G293">
        <v>2016</v>
      </c>
      <c r="H293" t="s">
        <v>1605</v>
      </c>
      <c r="I293" t="s">
        <v>75</v>
      </c>
      <c r="J293" t="s">
        <v>75</v>
      </c>
      <c r="K293" t="s">
        <v>1606</v>
      </c>
      <c r="L293" t="s">
        <v>942</v>
      </c>
      <c r="M293" t="s">
        <v>968</v>
      </c>
      <c r="O293" t="s">
        <v>1606</v>
      </c>
    </row>
    <row r="294" spans="1:17">
      <c r="A294" t="s">
        <v>1607</v>
      </c>
      <c r="B294" s="26">
        <v>44638</v>
      </c>
      <c r="C294" s="26">
        <v>44638</v>
      </c>
      <c r="D294" t="s">
        <v>939</v>
      </c>
      <c r="E294" s="26"/>
      <c r="G294">
        <v>2022</v>
      </c>
      <c r="H294" t="s">
        <v>1608</v>
      </c>
      <c r="I294" t="s">
        <v>75</v>
      </c>
      <c r="J294" t="s">
        <v>75</v>
      </c>
      <c r="K294">
        <v>82333</v>
      </c>
      <c r="L294" t="s">
        <v>1204</v>
      </c>
      <c r="M294" t="s">
        <v>1609</v>
      </c>
      <c r="N294" t="s">
        <v>963</v>
      </c>
      <c r="P294">
        <v>82333</v>
      </c>
      <c r="Q294">
        <v>82333</v>
      </c>
    </row>
    <row r="295" spans="1:17">
      <c r="A295" t="s">
        <v>1610</v>
      </c>
      <c r="B295" s="26">
        <v>44469</v>
      </c>
      <c r="C295" s="26">
        <v>44469</v>
      </c>
      <c r="D295" t="s">
        <v>939</v>
      </c>
      <c r="E295" s="26"/>
      <c r="G295">
        <v>2021</v>
      </c>
      <c r="H295" t="s">
        <v>1102</v>
      </c>
      <c r="I295" t="s">
        <v>75</v>
      </c>
      <c r="J295" t="s">
        <v>75</v>
      </c>
      <c r="K295" t="s">
        <v>1611</v>
      </c>
      <c r="L295" t="s">
        <v>1204</v>
      </c>
      <c r="M295" t="s">
        <v>943</v>
      </c>
      <c r="N295" t="s">
        <v>944</v>
      </c>
      <c r="P295" t="s">
        <v>1611</v>
      </c>
      <c r="Q295" t="s">
        <v>1611</v>
      </c>
    </row>
    <row r="296" spans="1:17">
      <c r="A296" t="s">
        <v>1612</v>
      </c>
      <c r="B296" s="26">
        <v>44734</v>
      </c>
      <c r="C296" s="26">
        <v>44734</v>
      </c>
      <c r="D296" t="s">
        <v>939</v>
      </c>
      <c r="E296" s="26"/>
      <c r="G296">
        <v>2022</v>
      </c>
      <c r="H296" t="s">
        <v>1613</v>
      </c>
      <c r="I296" t="s">
        <v>75</v>
      </c>
      <c r="J296" t="s">
        <v>75</v>
      </c>
      <c r="K296">
        <v>110760</v>
      </c>
      <c r="L296" t="s">
        <v>1204</v>
      </c>
      <c r="M296" t="s">
        <v>1005</v>
      </c>
      <c r="N296" t="s">
        <v>963</v>
      </c>
      <c r="P296">
        <v>110760</v>
      </c>
      <c r="Q296">
        <v>110760</v>
      </c>
    </row>
    <row r="297" spans="1:17">
      <c r="A297" t="s">
        <v>1614</v>
      </c>
      <c r="B297" s="26">
        <v>44035</v>
      </c>
      <c r="C297" s="26">
        <v>44035</v>
      </c>
      <c r="D297" t="s">
        <v>939</v>
      </c>
      <c r="E297" s="26"/>
      <c r="G297">
        <v>2020</v>
      </c>
      <c r="H297" t="s">
        <v>1615</v>
      </c>
      <c r="I297" t="s">
        <v>75</v>
      </c>
      <c r="J297" t="s">
        <v>75</v>
      </c>
      <c r="K297" t="s">
        <v>1616</v>
      </c>
      <c r="L297" t="s">
        <v>1204</v>
      </c>
      <c r="M297" t="s">
        <v>968</v>
      </c>
      <c r="P297" t="s">
        <v>1616</v>
      </c>
      <c r="Q297" t="s">
        <v>1616</v>
      </c>
    </row>
    <row r="298" spans="1:17">
      <c r="A298" t="s">
        <v>1617</v>
      </c>
      <c r="B298" s="26">
        <v>43215</v>
      </c>
      <c r="C298" s="26">
        <v>43215</v>
      </c>
      <c r="D298" t="s">
        <v>939</v>
      </c>
      <c r="E298" s="26"/>
      <c r="G298">
        <v>2018</v>
      </c>
      <c r="H298" t="s">
        <v>1618</v>
      </c>
      <c r="I298" t="s">
        <v>75</v>
      </c>
      <c r="J298" t="s">
        <v>75</v>
      </c>
      <c r="K298" t="s">
        <v>1619</v>
      </c>
      <c r="L298" t="s">
        <v>1188</v>
      </c>
      <c r="M298" t="s">
        <v>968</v>
      </c>
      <c r="P298" t="s">
        <v>1619</v>
      </c>
      <c r="Q298" t="s">
        <v>1619</v>
      </c>
    </row>
    <row r="299" spans="1:17">
      <c r="A299" t="s">
        <v>1620</v>
      </c>
      <c r="B299" s="26">
        <v>44238</v>
      </c>
      <c r="C299" s="26">
        <v>44238</v>
      </c>
      <c r="D299" t="s">
        <v>939</v>
      </c>
      <c r="E299" s="26"/>
      <c r="G299">
        <v>2021</v>
      </c>
      <c r="H299" t="s">
        <v>1621</v>
      </c>
      <c r="I299" t="s">
        <v>75</v>
      </c>
      <c r="J299" t="s">
        <v>75</v>
      </c>
      <c r="K299" t="s">
        <v>1622</v>
      </c>
      <c r="L299" t="s">
        <v>1623</v>
      </c>
      <c r="M299" t="s">
        <v>1624</v>
      </c>
      <c r="N299" t="s">
        <v>963</v>
      </c>
      <c r="P299" t="s">
        <v>1622</v>
      </c>
      <c r="Q299" t="s">
        <v>1622</v>
      </c>
    </row>
    <row r="300" spans="1:17">
      <c r="A300" t="s">
        <v>1625</v>
      </c>
      <c r="B300" s="26">
        <v>43314</v>
      </c>
      <c r="C300" s="26">
        <v>43314</v>
      </c>
      <c r="D300" t="s">
        <v>939</v>
      </c>
      <c r="E300" s="26">
        <v>43314</v>
      </c>
      <c r="G300">
        <v>2018</v>
      </c>
      <c r="H300" t="s">
        <v>1626</v>
      </c>
      <c r="I300" t="s">
        <v>75</v>
      </c>
      <c r="J300" t="s">
        <v>75</v>
      </c>
      <c r="K300" t="s">
        <v>1627</v>
      </c>
      <c r="L300" t="s">
        <v>967</v>
      </c>
      <c r="M300" t="s">
        <v>943</v>
      </c>
      <c r="N300" t="s">
        <v>944</v>
      </c>
      <c r="O300" t="s">
        <v>1627</v>
      </c>
    </row>
    <row r="301" spans="1:17">
      <c r="A301" t="s">
        <v>1628</v>
      </c>
      <c r="B301" s="26">
        <v>42549</v>
      </c>
      <c r="C301" s="26">
        <v>42549</v>
      </c>
      <c r="D301" t="s">
        <v>939</v>
      </c>
      <c r="E301" s="26">
        <v>42550</v>
      </c>
      <c r="G301">
        <v>2016</v>
      </c>
      <c r="H301" t="s">
        <v>1058</v>
      </c>
      <c r="I301" t="s">
        <v>75</v>
      </c>
      <c r="J301" t="s">
        <v>75</v>
      </c>
      <c r="K301" t="s">
        <v>953</v>
      </c>
      <c r="L301" t="s">
        <v>942</v>
      </c>
      <c r="M301" t="s">
        <v>943</v>
      </c>
      <c r="N301" t="s">
        <v>944</v>
      </c>
    </row>
    <row r="302" spans="1:17">
      <c r="A302" t="s">
        <v>1629</v>
      </c>
      <c r="B302" s="26">
        <v>42549</v>
      </c>
      <c r="C302" s="26">
        <v>42549</v>
      </c>
      <c r="D302" t="s">
        <v>939</v>
      </c>
      <c r="E302" s="26">
        <v>42550</v>
      </c>
      <c r="G302">
        <v>2016</v>
      </c>
      <c r="H302" t="s">
        <v>1519</v>
      </c>
      <c r="I302" t="s">
        <v>75</v>
      </c>
      <c r="J302" t="s">
        <v>75</v>
      </c>
      <c r="K302" t="s">
        <v>1630</v>
      </c>
      <c r="L302" t="s">
        <v>942</v>
      </c>
      <c r="M302" t="s">
        <v>943</v>
      </c>
      <c r="N302" t="s">
        <v>944</v>
      </c>
      <c r="O302" t="s">
        <v>1630</v>
      </c>
    </row>
    <row r="303" spans="1:17">
      <c r="A303" t="s">
        <v>1631</v>
      </c>
      <c r="B303" s="26">
        <v>42550</v>
      </c>
      <c r="C303" s="26">
        <v>42550</v>
      </c>
      <c r="D303" t="s">
        <v>939</v>
      </c>
      <c r="E303" s="26">
        <v>42550</v>
      </c>
      <c r="G303">
        <v>2016</v>
      </c>
      <c r="H303" t="s">
        <v>1632</v>
      </c>
      <c r="I303" t="s">
        <v>75</v>
      </c>
      <c r="J303" t="s">
        <v>75</v>
      </c>
      <c r="K303" t="s">
        <v>953</v>
      </c>
      <c r="L303" t="s">
        <v>942</v>
      </c>
      <c r="M303" t="s">
        <v>943</v>
      </c>
      <c r="N303" t="s">
        <v>944</v>
      </c>
    </row>
    <row r="304" spans="1:17">
      <c r="A304" t="s">
        <v>1633</v>
      </c>
      <c r="B304" s="26">
        <v>42549</v>
      </c>
      <c r="C304" s="26">
        <v>42549</v>
      </c>
      <c r="D304" t="s">
        <v>939</v>
      </c>
      <c r="E304" s="26">
        <v>42550</v>
      </c>
      <c r="G304">
        <v>2016</v>
      </c>
      <c r="H304" t="s">
        <v>1073</v>
      </c>
      <c r="I304" t="s">
        <v>75</v>
      </c>
      <c r="J304" t="s">
        <v>75</v>
      </c>
      <c r="K304" t="s">
        <v>1074</v>
      </c>
      <c r="L304" t="s">
        <v>942</v>
      </c>
      <c r="M304" t="s">
        <v>943</v>
      </c>
      <c r="N304" t="s">
        <v>944</v>
      </c>
      <c r="O304" t="s">
        <v>1074</v>
      </c>
    </row>
    <row r="305" spans="1:17">
      <c r="A305" t="s">
        <v>1634</v>
      </c>
      <c r="B305" s="26">
        <v>42549</v>
      </c>
      <c r="C305" s="26">
        <v>42549</v>
      </c>
      <c r="D305" t="s">
        <v>939</v>
      </c>
      <c r="E305" s="26">
        <v>42550</v>
      </c>
      <c r="G305">
        <v>2016</v>
      </c>
      <c r="H305" t="s">
        <v>1078</v>
      </c>
      <c r="I305" t="s">
        <v>75</v>
      </c>
      <c r="J305" t="s">
        <v>75</v>
      </c>
      <c r="K305" t="s">
        <v>953</v>
      </c>
      <c r="L305" t="s">
        <v>942</v>
      </c>
      <c r="M305" t="s">
        <v>943</v>
      </c>
      <c r="N305" t="s">
        <v>944</v>
      </c>
    </row>
    <row r="306" spans="1:17">
      <c r="A306" t="s">
        <v>1635</v>
      </c>
      <c r="B306" s="26">
        <v>42550</v>
      </c>
      <c r="C306" s="26">
        <v>42550</v>
      </c>
      <c r="D306" t="s">
        <v>939</v>
      </c>
      <c r="E306" s="26">
        <v>42550</v>
      </c>
      <c r="G306">
        <v>2016</v>
      </c>
      <c r="H306" t="s">
        <v>1636</v>
      </c>
      <c r="I306" t="s">
        <v>75</v>
      </c>
      <c r="J306" t="s">
        <v>75</v>
      </c>
      <c r="K306" t="s">
        <v>953</v>
      </c>
      <c r="L306" t="s">
        <v>942</v>
      </c>
      <c r="M306" t="s">
        <v>943</v>
      </c>
      <c r="N306" t="s">
        <v>944</v>
      </c>
    </row>
    <row r="307" spans="1:17">
      <c r="A307" t="s">
        <v>1637</v>
      </c>
      <c r="B307" s="26">
        <v>41647</v>
      </c>
      <c r="C307" s="26">
        <v>41647</v>
      </c>
      <c r="D307" t="s">
        <v>939</v>
      </c>
      <c r="E307" s="26"/>
      <c r="G307">
        <v>2014</v>
      </c>
      <c r="H307" t="s">
        <v>1638</v>
      </c>
      <c r="I307" t="s">
        <v>1639</v>
      </c>
      <c r="K307">
        <v>279349</v>
      </c>
      <c r="M307" t="s">
        <v>1640</v>
      </c>
      <c r="N307" t="s">
        <v>1088</v>
      </c>
      <c r="P307">
        <v>279349</v>
      </c>
    </row>
    <row r="308" spans="1:17">
      <c r="A308" t="s">
        <v>1641</v>
      </c>
      <c r="B308" s="26">
        <v>42682</v>
      </c>
      <c r="C308" s="26">
        <v>42691</v>
      </c>
      <c r="D308" t="s">
        <v>939</v>
      </c>
      <c r="E308" s="26"/>
      <c r="G308">
        <v>2016</v>
      </c>
      <c r="H308" t="s">
        <v>1642</v>
      </c>
      <c r="I308" t="s">
        <v>47</v>
      </c>
      <c r="J308" t="s">
        <v>136</v>
      </c>
      <c r="K308">
        <v>3000000</v>
      </c>
      <c r="L308" t="s">
        <v>1643</v>
      </c>
      <c r="M308" t="s">
        <v>1644</v>
      </c>
      <c r="N308" t="s">
        <v>963</v>
      </c>
      <c r="O308">
        <v>3000000</v>
      </c>
      <c r="P308">
        <v>4500000</v>
      </c>
    </row>
    <row r="309" spans="1:17">
      <c r="A309" t="s">
        <v>1641</v>
      </c>
      <c r="B309" s="26">
        <v>42682</v>
      </c>
      <c r="C309" s="26">
        <v>42691</v>
      </c>
      <c r="D309" t="s">
        <v>939</v>
      </c>
      <c r="E309" s="26"/>
      <c r="G309">
        <v>2016</v>
      </c>
      <c r="H309" t="s">
        <v>1642</v>
      </c>
      <c r="I309" t="s">
        <v>47</v>
      </c>
      <c r="J309" t="s">
        <v>47</v>
      </c>
      <c r="K309">
        <v>10507209</v>
      </c>
      <c r="L309" t="s">
        <v>1645</v>
      </c>
      <c r="M309" t="s">
        <v>1644</v>
      </c>
      <c r="N309" t="s">
        <v>963</v>
      </c>
      <c r="O309">
        <v>10507209</v>
      </c>
      <c r="P309">
        <v>4500000</v>
      </c>
    </row>
    <row r="310" spans="1:17">
      <c r="A310" t="s">
        <v>1641</v>
      </c>
      <c r="B310" s="26">
        <v>42682</v>
      </c>
      <c r="C310" s="26">
        <v>42691</v>
      </c>
      <c r="D310" t="s">
        <v>939</v>
      </c>
      <c r="E310" s="26"/>
      <c r="G310">
        <v>2016</v>
      </c>
      <c r="H310" t="s">
        <v>1642</v>
      </c>
      <c r="I310" t="s">
        <v>47</v>
      </c>
      <c r="J310" t="s">
        <v>47</v>
      </c>
      <c r="K310">
        <v>4500000</v>
      </c>
      <c r="L310" t="s">
        <v>1646</v>
      </c>
      <c r="M310" t="s">
        <v>1644</v>
      </c>
      <c r="N310" t="s">
        <v>963</v>
      </c>
      <c r="O310">
        <v>4500000</v>
      </c>
      <c r="P310">
        <v>4500000</v>
      </c>
    </row>
    <row r="311" spans="1:17">
      <c r="A311" t="s">
        <v>1641</v>
      </c>
      <c r="B311" s="26">
        <v>42682</v>
      </c>
      <c r="C311" s="26">
        <v>42691</v>
      </c>
      <c r="D311" t="s">
        <v>939</v>
      </c>
      <c r="E311" s="26"/>
      <c r="G311">
        <v>2016</v>
      </c>
      <c r="H311" t="s">
        <v>1642</v>
      </c>
      <c r="I311" t="s">
        <v>47</v>
      </c>
      <c r="J311" t="s">
        <v>47</v>
      </c>
      <c r="K311" t="s">
        <v>1647</v>
      </c>
      <c r="L311" t="s">
        <v>1648</v>
      </c>
      <c r="M311" t="s">
        <v>1644</v>
      </c>
      <c r="N311" t="s">
        <v>963</v>
      </c>
      <c r="O311" t="s">
        <v>1647</v>
      </c>
      <c r="P311">
        <v>4500000</v>
      </c>
    </row>
    <row r="312" spans="1:17">
      <c r="A312" t="s">
        <v>1649</v>
      </c>
      <c r="B312" s="26">
        <v>41667</v>
      </c>
      <c r="C312" s="26">
        <v>41667</v>
      </c>
      <c r="D312" t="s">
        <v>939</v>
      </c>
      <c r="E312" s="26"/>
      <c r="G312">
        <v>2013</v>
      </c>
      <c r="H312" t="s">
        <v>1650</v>
      </c>
      <c r="I312" t="s">
        <v>47</v>
      </c>
      <c r="J312" t="s">
        <v>47</v>
      </c>
      <c r="K312">
        <v>1199817</v>
      </c>
      <c r="L312" t="s">
        <v>1651</v>
      </c>
      <c r="M312" t="s">
        <v>1652</v>
      </c>
      <c r="N312" t="s">
        <v>963</v>
      </c>
      <c r="P312">
        <v>1199817</v>
      </c>
    </row>
    <row r="313" spans="1:17">
      <c r="A313" t="s">
        <v>1653</v>
      </c>
      <c r="B313" s="26">
        <v>42033</v>
      </c>
      <c r="C313" s="26">
        <v>42033</v>
      </c>
      <c r="D313" t="s">
        <v>1206</v>
      </c>
      <c r="E313" s="26"/>
      <c r="G313">
        <v>2014</v>
      </c>
      <c r="H313" t="s">
        <v>1654</v>
      </c>
      <c r="I313" t="s">
        <v>47</v>
      </c>
      <c r="J313" t="s">
        <v>47</v>
      </c>
      <c r="K313">
        <v>12800000</v>
      </c>
      <c r="L313" t="s">
        <v>1655</v>
      </c>
      <c r="M313" t="s">
        <v>1209</v>
      </c>
      <c r="N313" t="s">
        <v>1210</v>
      </c>
      <c r="P313">
        <v>12800000</v>
      </c>
      <c r="Q313">
        <v>12800000</v>
      </c>
    </row>
    <row r="314" spans="1:17">
      <c r="A314" t="s">
        <v>1656</v>
      </c>
      <c r="B314" s="26">
        <v>44358</v>
      </c>
      <c r="C314" s="26">
        <v>44358</v>
      </c>
      <c r="D314" t="s">
        <v>939</v>
      </c>
      <c r="E314" s="26"/>
      <c r="G314">
        <v>2021</v>
      </c>
      <c r="H314" t="s">
        <v>1657</v>
      </c>
      <c r="I314" t="s">
        <v>1294</v>
      </c>
      <c r="J314" t="s">
        <v>1294</v>
      </c>
      <c r="K314">
        <v>2362999</v>
      </c>
      <c r="L314" t="s">
        <v>1658</v>
      </c>
      <c r="M314" t="s">
        <v>1659</v>
      </c>
      <c r="N314" t="s">
        <v>1088</v>
      </c>
      <c r="O314">
        <v>2362999</v>
      </c>
      <c r="P314">
        <v>2362999</v>
      </c>
    </row>
    <row r="315" spans="1:17">
      <c r="A315" t="s">
        <v>1660</v>
      </c>
      <c r="B315" s="26">
        <v>43670</v>
      </c>
      <c r="C315" s="26">
        <v>43670</v>
      </c>
      <c r="D315" t="s">
        <v>939</v>
      </c>
      <c r="E315" s="26"/>
      <c r="G315">
        <v>2018</v>
      </c>
      <c r="H315" t="s">
        <v>1661</v>
      </c>
      <c r="I315" t="s">
        <v>1294</v>
      </c>
      <c r="J315" t="s">
        <v>1294</v>
      </c>
      <c r="K315">
        <v>625234</v>
      </c>
      <c r="L315" t="s">
        <v>1662</v>
      </c>
      <c r="M315" t="s">
        <v>1663</v>
      </c>
      <c r="N315" t="s">
        <v>963</v>
      </c>
      <c r="O315">
        <v>625234</v>
      </c>
      <c r="P315">
        <v>625234</v>
      </c>
    </row>
    <row r="316" spans="1:17">
      <c r="A316" t="s">
        <v>1664</v>
      </c>
      <c r="B316" s="26">
        <v>41101</v>
      </c>
      <c r="C316" s="26">
        <v>41101</v>
      </c>
      <c r="D316" t="s">
        <v>1206</v>
      </c>
      <c r="E316" s="26"/>
      <c r="G316">
        <v>2012</v>
      </c>
      <c r="H316" t="s">
        <v>1257</v>
      </c>
      <c r="I316" t="s">
        <v>39</v>
      </c>
      <c r="J316" t="s">
        <v>39</v>
      </c>
      <c r="K316">
        <v>336134</v>
      </c>
      <c r="L316" t="s">
        <v>1665</v>
      </c>
      <c r="M316" t="s">
        <v>1244</v>
      </c>
      <c r="N316" t="s">
        <v>963</v>
      </c>
      <c r="P316">
        <v>336134</v>
      </c>
      <c r="Q316">
        <v>336134</v>
      </c>
    </row>
    <row r="317" spans="1:17">
      <c r="A317" t="s">
        <v>1666</v>
      </c>
      <c r="B317" s="26">
        <v>41121</v>
      </c>
      <c r="C317" s="26">
        <v>41121</v>
      </c>
      <c r="D317" t="s">
        <v>1206</v>
      </c>
      <c r="E317" s="26"/>
      <c r="G317">
        <v>2012</v>
      </c>
      <c r="H317" t="s">
        <v>1242</v>
      </c>
      <c r="I317" t="s">
        <v>39</v>
      </c>
      <c r="J317" t="s">
        <v>39</v>
      </c>
      <c r="K317">
        <v>252101</v>
      </c>
      <c r="L317" t="s">
        <v>1667</v>
      </c>
      <c r="M317" t="s">
        <v>1244</v>
      </c>
      <c r="N317" t="s">
        <v>963</v>
      </c>
      <c r="P317">
        <v>252101</v>
      </c>
      <c r="Q317">
        <v>252101</v>
      </c>
    </row>
    <row r="318" spans="1:17">
      <c r="A318" t="s">
        <v>1668</v>
      </c>
      <c r="B318" s="26">
        <v>41503</v>
      </c>
      <c r="C318" s="26">
        <v>41503</v>
      </c>
      <c r="D318" t="s">
        <v>1206</v>
      </c>
      <c r="E318" s="26"/>
      <c r="G318">
        <v>2013</v>
      </c>
      <c r="H318" t="s">
        <v>1232</v>
      </c>
      <c r="I318" t="s">
        <v>39</v>
      </c>
      <c r="J318" t="s">
        <v>39</v>
      </c>
      <c r="K318">
        <v>67227</v>
      </c>
      <c r="L318" t="s">
        <v>1669</v>
      </c>
      <c r="M318" t="s">
        <v>1234</v>
      </c>
      <c r="N318" t="s">
        <v>963</v>
      </c>
      <c r="P318">
        <v>67227</v>
      </c>
      <c r="Q318">
        <v>67227</v>
      </c>
    </row>
    <row r="319" spans="1:17">
      <c r="A319" t="s">
        <v>1670</v>
      </c>
      <c r="B319" s="26">
        <v>41804</v>
      </c>
      <c r="C319" s="26">
        <v>41804</v>
      </c>
      <c r="D319" t="s">
        <v>1206</v>
      </c>
      <c r="E319" s="26"/>
      <c r="G319">
        <v>2014</v>
      </c>
      <c r="H319" t="s">
        <v>1236</v>
      </c>
      <c r="I319" t="s">
        <v>39</v>
      </c>
      <c r="J319" t="s">
        <v>41</v>
      </c>
      <c r="K319">
        <v>378151</v>
      </c>
      <c r="L319" t="s">
        <v>1671</v>
      </c>
      <c r="M319" t="s">
        <v>1234</v>
      </c>
      <c r="N319" t="s">
        <v>963</v>
      </c>
      <c r="P319">
        <v>378151</v>
      </c>
      <c r="Q319">
        <v>378151</v>
      </c>
    </row>
    <row r="320" spans="1:17">
      <c r="A320" t="s">
        <v>1672</v>
      </c>
      <c r="B320" s="26">
        <v>41444</v>
      </c>
      <c r="C320" s="26">
        <v>41444</v>
      </c>
      <c r="D320" t="s">
        <v>1206</v>
      </c>
      <c r="E320" s="26"/>
      <c r="G320">
        <v>2013</v>
      </c>
      <c r="H320" t="s">
        <v>1232</v>
      </c>
      <c r="I320" t="s">
        <v>39</v>
      </c>
      <c r="J320" t="s">
        <v>39</v>
      </c>
      <c r="K320">
        <v>252101</v>
      </c>
      <c r="L320" t="s">
        <v>1673</v>
      </c>
      <c r="M320" t="s">
        <v>1234</v>
      </c>
      <c r="N320" t="s">
        <v>963</v>
      </c>
      <c r="P320">
        <v>252101</v>
      </c>
      <c r="Q320">
        <v>252101</v>
      </c>
    </row>
    <row r="321" spans="1:17">
      <c r="A321" t="s">
        <v>1674</v>
      </c>
      <c r="B321" s="26">
        <v>41503</v>
      </c>
      <c r="C321" s="26">
        <v>41503</v>
      </c>
      <c r="D321" t="s">
        <v>1206</v>
      </c>
      <c r="E321" s="26"/>
      <c r="G321">
        <v>2013</v>
      </c>
      <c r="H321" t="s">
        <v>1232</v>
      </c>
      <c r="I321" t="s">
        <v>39</v>
      </c>
      <c r="J321" t="s">
        <v>39</v>
      </c>
      <c r="K321">
        <v>84034</v>
      </c>
      <c r="L321" t="s">
        <v>1675</v>
      </c>
      <c r="M321" t="s">
        <v>1234</v>
      </c>
      <c r="N321" t="s">
        <v>963</v>
      </c>
      <c r="P321">
        <v>84034</v>
      </c>
      <c r="Q321">
        <v>84034</v>
      </c>
    </row>
    <row r="322" spans="1:17">
      <c r="A322" t="s">
        <v>1676</v>
      </c>
      <c r="B322" s="26">
        <v>41627</v>
      </c>
      <c r="C322" s="26">
        <v>41627</v>
      </c>
      <c r="D322" t="s">
        <v>1206</v>
      </c>
      <c r="E322" s="26"/>
      <c r="G322">
        <v>2013</v>
      </c>
      <c r="H322" t="s">
        <v>1232</v>
      </c>
      <c r="I322" t="s">
        <v>39</v>
      </c>
      <c r="J322" t="s">
        <v>41</v>
      </c>
      <c r="K322">
        <v>378151</v>
      </c>
      <c r="L322" t="s">
        <v>1671</v>
      </c>
      <c r="M322" t="s">
        <v>1234</v>
      </c>
      <c r="N322" t="s">
        <v>963</v>
      </c>
      <c r="P322">
        <v>378151</v>
      </c>
      <c r="Q322">
        <v>378151</v>
      </c>
    </row>
    <row r="323" spans="1:17">
      <c r="A323" t="s">
        <v>1677</v>
      </c>
      <c r="B323" s="26">
        <v>41514</v>
      </c>
      <c r="C323" s="26">
        <v>41514</v>
      </c>
      <c r="D323" t="s">
        <v>1206</v>
      </c>
      <c r="E323" s="26"/>
      <c r="G323">
        <v>2013</v>
      </c>
      <c r="H323" t="s">
        <v>1232</v>
      </c>
      <c r="I323" t="s">
        <v>39</v>
      </c>
      <c r="J323" t="s">
        <v>39</v>
      </c>
      <c r="K323">
        <v>168067</v>
      </c>
      <c r="L323" t="s">
        <v>1667</v>
      </c>
      <c r="M323" t="s">
        <v>1234</v>
      </c>
      <c r="N323" t="s">
        <v>963</v>
      </c>
      <c r="P323">
        <v>168067</v>
      </c>
      <c r="Q323">
        <v>168067</v>
      </c>
    </row>
    <row r="324" spans="1:17">
      <c r="A324" t="s">
        <v>1678</v>
      </c>
      <c r="B324" s="26">
        <v>41592</v>
      </c>
      <c r="C324" s="26">
        <v>41592</v>
      </c>
      <c r="D324" t="s">
        <v>939</v>
      </c>
      <c r="E324" s="26"/>
      <c r="G324">
        <v>2013</v>
      </c>
      <c r="H324" t="s">
        <v>1287</v>
      </c>
      <c r="I324" t="s">
        <v>39</v>
      </c>
      <c r="J324" t="s">
        <v>39</v>
      </c>
      <c r="K324">
        <v>1203445</v>
      </c>
      <c r="L324" t="s">
        <v>1251</v>
      </c>
      <c r="M324" t="s">
        <v>1234</v>
      </c>
      <c r="N324" t="s">
        <v>963</v>
      </c>
      <c r="O324">
        <v>1203445</v>
      </c>
      <c r="P324">
        <v>1203445</v>
      </c>
    </row>
    <row r="325" spans="1:17">
      <c r="A325" t="s">
        <v>1679</v>
      </c>
      <c r="B325" s="26">
        <v>41074</v>
      </c>
      <c r="C325" s="26">
        <v>41074</v>
      </c>
      <c r="D325" t="s">
        <v>1206</v>
      </c>
      <c r="E325" s="26"/>
      <c r="G325">
        <v>2012</v>
      </c>
      <c r="H325" t="s">
        <v>1242</v>
      </c>
      <c r="I325" t="s">
        <v>39</v>
      </c>
      <c r="J325" t="s">
        <v>39</v>
      </c>
      <c r="K325">
        <v>8403</v>
      </c>
      <c r="L325" t="s">
        <v>1276</v>
      </c>
      <c r="M325" t="s">
        <v>1244</v>
      </c>
      <c r="N325" t="s">
        <v>963</v>
      </c>
      <c r="P325">
        <v>8403</v>
      </c>
      <c r="Q325">
        <v>8403</v>
      </c>
    </row>
    <row r="326" spans="1:17">
      <c r="A326" t="s">
        <v>1680</v>
      </c>
      <c r="B326" s="26">
        <v>40957</v>
      </c>
      <c r="C326" s="26">
        <v>40957</v>
      </c>
      <c r="D326" t="s">
        <v>939</v>
      </c>
      <c r="E326" s="26"/>
      <c r="G326">
        <v>2011</v>
      </c>
      <c r="H326" t="s">
        <v>1681</v>
      </c>
      <c r="I326" t="s">
        <v>39</v>
      </c>
      <c r="J326" t="s">
        <v>39</v>
      </c>
      <c r="K326">
        <v>483935</v>
      </c>
      <c r="L326" t="s">
        <v>1251</v>
      </c>
      <c r="M326" t="s">
        <v>1244</v>
      </c>
      <c r="N326" t="s">
        <v>963</v>
      </c>
      <c r="O326">
        <v>483935</v>
      </c>
      <c r="P326">
        <v>483935</v>
      </c>
    </row>
    <row r="327" spans="1:17">
      <c r="A327" t="s">
        <v>1682</v>
      </c>
      <c r="B327" s="26">
        <v>41074</v>
      </c>
      <c r="C327" s="26">
        <v>41074</v>
      </c>
      <c r="D327" t="s">
        <v>1206</v>
      </c>
      <c r="E327" s="26"/>
      <c r="G327">
        <v>2012</v>
      </c>
      <c r="H327" t="s">
        <v>1242</v>
      </c>
      <c r="I327" t="s">
        <v>39</v>
      </c>
      <c r="J327" t="s">
        <v>39</v>
      </c>
      <c r="K327">
        <v>168067</v>
      </c>
      <c r="L327" t="s">
        <v>1276</v>
      </c>
      <c r="M327" t="s">
        <v>1244</v>
      </c>
      <c r="N327" t="s">
        <v>963</v>
      </c>
      <c r="P327">
        <v>168067</v>
      </c>
      <c r="Q327">
        <v>168067</v>
      </c>
    </row>
    <row r="328" spans="1:17">
      <c r="A328" t="s">
        <v>1683</v>
      </c>
      <c r="B328" s="26">
        <v>44446</v>
      </c>
      <c r="C328" s="26">
        <v>44446</v>
      </c>
      <c r="D328" t="s">
        <v>939</v>
      </c>
      <c r="E328" s="26"/>
      <c r="G328">
        <v>2021</v>
      </c>
      <c r="H328" t="s">
        <v>1684</v>
      </c>
      <c r="I328" t="s">
        <v>39</v>
      </c>
      <c r="J328" t="s">
        <v>39</v>
      </c>
      <c r="K328" t="s">
        <v>953</v>
      </c>
      <c r="L328" t="s">
        <v>1255</v>
      </c>
      <c r="M328" t="s">
        <v>1234</v>
      </c>
      <c r="N328" t="s">
        <v>963</v>
      </c>
    </row>
    <row r="329" spans="1:17">
      <c r="A329" t="s">
        <v>1685</v>
      </c>
      <c r="B329" s="26">
        <v>40985</v>
      </c>
      <c r="C329" s="26">
        <v>40985</v>
      </c>
      <c r="D329" t="s">
        <v>939</v>
      </c>
      <c r="E329" s="26"/>
      <c r="G329">
        <v>2012</v>
      </c>
      <c r="H329" t="s">
        <v>1686</v>
      </c>
      <c r="I329" t="s">
        <v>39</v>
      </c>
      <c r="J329" t="s">
        <v>39</v>
      </c>
      <c r="K329">
        <v>1411765</v>
      </c>
      <c r="L329" t="s">
        <v>1687</v>
      </c>
      <c r="M329" t="s">
        <v>1244</v>
      </c>
      <c r="N329" t="s">
        <v>963</v>
      </c>
      <c r="P329">
        <v>1411765</v>
      </c>
    </row>
    <row r="330" spans="1:17">
      <c r="A330" t="s">
        <v>1688</v>
      </c>
      <c r="B330" s="26">
        <v>41913</v>
      </c>
      <c r="C330" s="26">
        <v>41913</v>
      </c>
      <c r="D330" t="s">
        <v>939</v>
      </c>
      <c r="E330" s="26"/>
      <c r="G330">
        <v>2014</v>
      </c>
      <c r="H330" t="s">
        <v>1287</v>
      </c>
      <c r="I330" t="s">
        <v>39</v>
      </c>
      <c r="J330" t="s">
        <v>39</v>
      </c>
      <c r="K330">
        <v>488048</v>
      </c>
      <c r="L330" t="s">
        <v>1251</v>
      </c>
      <c r="M330" t="s">
        <v>1234</v>
      </c>
      <c r="N330" t="s">
        <v>963</v>
      </c>
      <c r="O330">
        <v>488048</v>
      </c>
      <c r="P330">
        <v>488048</v>
      </c>
    </row>
    <row r="331" spans="1:17">
      <c r="A331" t="s">
        <v>1689</v>
      </c>
      <c r="B331" s="26">
        <v>43162</v>
      </c>
      <c r="C331" s="26">
        <v>43162</v>
      </c>
      <c r="D331" t="s">
        <v>939</v>
      </c>
      <c r="E331" s="26"/>
      <c r="G331">
        <v>2018</v>
      </c>
      <c r="H331" t="s">
        <v>1690</v>
      </c>
      <c r="I331" t="s">
        <v>39</v>
      </c>
      <c r="J331" t="s">
        <v>39</v>
      </c>
      <c r="K331" t="s">
        <v>953</v>
      </c>
      <c r="L331" t="s">
        <v>1691</v>
      </c>
      <c r="M331" t="s">
        <v>1234</v>
      </c>
      <c r="N331" t="s">
        <v>963</v>
      </c>
    </row>
    <row r="332" spans="1:17">
      <c r="A332" t="s">
        <v>1692</v>
      </c>
      <c r="B332" s="26">
        <v>41444</v>
      </c>
      <c r="C332" s="26">
        <v>41444</v>
      </c>
      <c r="D332" t="s">
        <v>1206</v>
      </c>
      <c r="E332" s="26"/>
      <c r="G332">
        <v>2013</v>
      </c>
      <c r="H332" t="s">
        <v>1232</v>
      </c>
      <c r="I332" t="s">
        <v>39</v>
      </c>
      <c r="J332" t="s">
        <v>39</v>
      </c>
      <c r="K332">
        <v>42017</v>
      </c>
      <c r="L332" t="s">
        <v>1693</v>
      </c>
      <c r="M332" t="s">
        <v>1234</v>
      </c>
      <c r="N332" t="s">
        <v>963</v>
      </c>
      <c r="P332">
        <v>42017</v>
      </c>
      <c r="Q332">
        <v>42017</v>
      </c>
    </row>
    <row r="333" spans="1:17">
      <c r="A333" t="s">
        <v>1694</v>
      </c>
      <c r="B333" s="26">
        <v>41480</v>
      </c>
      <c r="C333" s="26">
        <v>41480</v>
      </c>
      <c r="D333" t="s">
        <v>1206</v>
      </c>
      <c r="E333" s="26"/>
      <c r="G333">
        <v>2013</v>
      </c>
      <c r="H333" t="s">
        <v>1232</v>
      </c>
      <c r="I333" t="s">
        <v>39</v>
      </c>
      <c r="J333" t="s">
        <v>39</v>
      </c>
      <c r="K333">
        <v>12605</v>
      </c>
      <c r="L333" t="s">
        <v>1276</v>
      </c>
      <c r="M333" t="s">
        <v>1234</v>
      </c>
      <c r="N333" t="s">
        <v>963</v>
      </c>
      <c r="P333">
        <v>12605</v>
      </c>
      <c r="Q333">
        <v>12605</v>
      </c>
    </row>
    <row r="334" spans="1:17">
      <c r="A334" t="s">
        <v>1695</v>
      </c>
      <c r="B334" s="26">
        <v>41804</v>
      </c>
      <c r="C334" s="26">
        <v>41804</v>
      </c>
      <c r="D334" t="s">
        <v>1206</v>
      </c>
      <c r="E334" s="26"/>
      <c r="G334">
        <v>2014</v>
      </c>
      <c r="H334" t="s">
        <v>1236</v>
      </c>
      <c r="I334" t="s">
        <v>39</v>
      </c>
      <c r="J334" t="s">
        <v>39</v>
      </c>
      <c r="K334">
        <v>2521008</v>
      </c>
      <c r="L334" t="s">
        <v>1255</v>
      </c>
      <c r="M334" t="s">
        <v>1234</v>
      </c>
      <c r="N334" t="s">
        <v>963</v>
      </c>
      <c r="P334">
        <v>2521008</v>
      </c>
      <c r="Q334">
        <v>2521008</v>
      </c>
    </row>
    <row r="335" spans="1:17">
      <c r="A335" t="s">
        <v>1696</v>
      </c>
      <c r="B335" s="26">
        <v>41786</v>
      </c>
      <c r="C335" s="26">
        <v>41786</v>
      </c>
      <c r="D335" t="s">
        <v>939</v>
      </c>
      <c r="E335" s="26"/>
      <c r="G335">
        <v>2014</v>
      </c>
      <c r="H335" t="s">
        <v>1697</v>
      </c>
      <c r="I335" t="s">
        <v>39</v>
      </c>
      <c r="J335" t="s">
        <v>65</v>
      </c>
      <c r="K335">
        <v>250326</v>
      </c>
      <c r="L335" t="s">
        <v>1698</v>
      </c>
      <c r="M335" t="s">
        <v>1699</v>
      </c>
      <c r="N335" t="s">
        <v>1088</v>
      </c>
      <c r="O335">
        <v>250326</v>
      </c>
    </row>
    <row r="336" spans="1:17">
      <c r="A336" t="s">
        <v>1700</v>
      </c>
      <c r="B336" s="26">
        <v>41444</v>
      </c>
      <c r="C336" s="26">
        <v>41444</v>
      </c>
      <c r="D336" t="s">
        <v>1206</v>
      </c>
      <c r="E336" s="26"/>
      <c r="G336">
        <v>2013</v>
      </c>
      <c r="H336" t="s">
        <v>1232</v>
      </c>
      <c r="I336" t="s">
        <v>39</v>
      </c>
      <c r="J336" t="s">
        <v>39</v>
      </c>
      <c r="K336">
        <v>84034</v>
      </c>
      <c r="L336" t="s">
        <v>1701</v>
      </c>
      <c r="M336" t="s">
        <v>1234</v>
      </c>
      <c r="N336" t="s">
        <v>963</v>
      </c>
      <c r="P336">
        <v>84034</v>
      </c>
      <c r="Q336">
        <v>84034</v>
      </c>
    </row>
    <row r="337" spans="1:17">
      <c r="A337" t="s">
        <v>1702</v>
      </c>
      <c r="B337" s="26">
        <v>41907</v>
      </c>
      <c r="C337" s="26">
        <v>41907</v>
      </c>
      <c r="D337" t="s">
        <v>1206</v>
      </c>
      <c r="E337" s="26"/>
      <c r="G337">
        <v>2014</v>
      </c>
      <c r="H337" t="s">
        <v>1236</v>
      </c>
      <c r="I337" t="s">
        <v>39</v>
      </c>
      <c r="J337" t="s">
        <v>39</v>
      </c>
      <c r="K337">
        <v>42017</v>
      </c>
      <c r="L337" t="s">
        <v>1669</v>
      </c>
      <c r="M337" t="s">
        <v>1234</v>
      </c>
      <c r="N337" t="s">
        <v>963</v>
      </c>
      <c r="P337">
        <v>42017</v>
      </c>
      <c r="Q337">
        <v>42017</v>
      </c>
    </row>
    <row r="338" spans="1:17">
      <c r="A338" t="s">
        <v>1703</v>
      </c>
      <c r="B338" s="26">
        <v>41718</v>
      </c>
      <c r="C338" s="26">
        <v>41718</v>
      </c>
      <c r="D338" t="s">
        <v>1206</v>
      </c>
      <c r="E338" s="26"/>
      <c r="G338">
        <v>2014</v>
      </c>
      <c r="H338" t="s">
        <v>1704</v>
      </c>
      <c r="I338" t="s">
        <v>39</v>
      </c>
      <c r="J338" t="s">
        <v>65</v>
      </c>
      <c r="K338">
        <v>630252</v>
      </c>
      <c r="L338" t="s">
        <v>1240</v>
      </c>
      <c r="M338" t="s">
        <v>1234</v>
      </c>
      <c r="N338" t="s">
        <v>963</v>
      </c>
      <c r="P338">
        <v>630252</v>
      </c>
      <c r="Q338">
        <v>630252</v>
      </c>
    </row>
    <row r="339" spans="1:17">
      <c r="A339" t="s">
        <v>1703</v>
      </c>
      <c r="B339" s="26">
        <v>41718</v>
      </c>
      <c r="C339" s="26">
        <v>41718</v>
      </c>
      <c r="D339" t="s">
        <v>1206</v>
      </c>
      <c r="E339" s="26"/>
      <c r="G339">
        <v>2014</v>
      </c>
      <c r="H339" t="s">
        <v>1704</v>
      </c>
      <c r="I339" t="s">
        <v>39</v>
      </c>
      <c r="J339" t="s">
        <v>65</v>
      </c>
      <c r="K339">
        <v>630252</v>
      </c>
      <c r="L339" t="s">
        <v>1240</v>
      </c>
      <c r="M339" t="s">
        <v>1234</v>
      </c>
      <c r="N339" t="s">
        <v>963</v>
      </c>
      <c r="P339">
        <v>630252</v>
      </c>
      <c r="Q339">
        <v>630252</v>
      </c>
    </row>
    <row r="340" spans="1:17">
      <c r="A340" t="s">
        <v>1705</v>
      </c>
      <c r="B340" s="26">
        <v>41424</v>
      </c>
      <c r="C340" s="26">
        <v>41424</v>
      </c>
      <c r="D340" t="s">
        <v>1206</v>
      </c>
      <c r="E340" s="26"/>
      <c r="G340">
        <v>2013</v>
      </c>
      <c r="H340" t="s">
        <v>1232</v>
      </c>
      <c r="I340" t="s">
        <v>39</v>
      </c>
      <c r="J340" t="s">
        <v>39</v>
      </c>
      <c r="K340">
        <v>84034</v>
      </c>
      <c r="L340" t="s">
        <v>1253</v>
      </c>
      <c r="M340" t="s">
        <v>1234</v>
      </c>
      <c r="N340" t="s">
        <v>963</v>
      </c>
      <c r="P340">
        <v>84034</v>
      </c>
      <c r="Q340">
        <v>84034</v>
      </c>
    </row>
    <row r="341" spans="1:17">
      <c r="A341" t="s">
        <v>1706</v>
      </c>
      <c r="B341" s="26">
        <v>42147</v>
      </c>
      <c r="C341" s="26">
        <v>42147</v>
      </c>
      <c r="D341" t="s">
        <v>1206</v>
      </c>
      <c r="E341" s="26"/>
      <c r="G341">
        <v>2015</v>
      </c>
      <c r="H341" t="s">
        <v>1707</v>
      </c>
      <c r="I341" t="s">
        <v>80</v>
      </c>
      <c r="J341" t="s">
        <v>39</v>
      </c>
      <c r="K341">
        <v>750000</v>
      </c>
      <c r="L341" t="s">
        <v>1708</v>
      </c>
      <c r="M341" t="s">
        <v>1709</v>
      </c>
      <c r="N341" t="s">
        <v>1210</v>
      </c>
      <c r="P341">
        <v>750000</v>
      </c>
      <c r="Q341">
        <v>750000</v>
      </c>
    </row>
    <row r="342" spans="1:17">
      <c r="A342" t="s">
        <v>1710</v>
      </c>
      <c r="B342" s="26">
        <v>42518</v>
      </c>
      <c r="C342" s="26">
        <v>42518</v>
      </c>
      <c r="D342" t="s">
        <v>1206</v>
      </c>
      <c r="E342" s="26"/>
      <c r="G342">
        <v>2016</v>
      </c>
      <c r="H342" t="s">
        <v>1711</v>
      </c>
      <c r="I342" t="s">
        <v>80</v>
      </c>
      <c r="J342" t="s">
        <v>61</v>
      </c>
      <c r="K342">
        <v>31000000</v>
      </c>
      <c r="L342" t="s">
        <v>1712</v>
      </c>
      <c r="M342" t="s">
        <v>1709</v>
      </c>
      <c r="N342" t="s">
        <v>1210</v>
      </c>
      <c r="P342">
        <v>31000000</v>
      </c>
      <c r="Q342">
        <v>31000000</v>
      </c>
    </row>
    <row r="343" spans="1:17">
      <c r="A343" t="s">
        <v>1713</v>
      </c>
      <c r="B343" s="26">
        <v>43843</v>
      </c>
      <c r="C343" s="26">
        <v>43843</v>
      </c>
      <c r="D343" t="s">
        <v>939</v>
      </c>
      <c r="E343" s="26"/>
      <c r="G343">
        <v>2019</v>
      </c>
      <c r="H343" t="s">
        <v>1714</v>
      </c>
      <c r="I343" t="s">
        <v>44</v>
      </c>
      <c r="K343">
        <v>46200</v>
      </c>
      <c r="L343" t="s">
        <v>1715</v>
      </c>
      <c r="M343" t="s">
        <v>1320</v>
      </c>
      <c r="N343" t="s">
        <v>963</v>
      </c>
      <c r="O343">
        <v>46200</v>
      </c>
      <c r="P343" t="s">
        <v>1716</v>
      </c>
      <c r="Q343" t="s">
        <v>1716</v>
      </c>
    </row>
    <row r="344" spans="1:17">
      <c r="A344" t="s">
        <v>1717</v>
      </c>
      <c r="B344" s="26">
        <v>41991</v>
      </c>
      <c r="C344" s="26">
        <v>41991</v>
      </c>
      <c r="D344" t="s">
        <v>939</v>
      </c>
      <c r="E344" s="26"/>
      <c r="G344">
        <v>2014</v>
      </c>
      <c r="H344" t="s">
        <v>1718</v>
      </c>
      <c r="I344" t="s">
        <v>35</v>
      </c>
      <c r="J344" t="s">
        <v>157</v>
      </c>
      <c r="K344">
        <v>1000000</v>
      </c>
      <c r="L344" t="s">
        <v>1719</v>
      </c>
      <c r="M344" t="s">
        <v>1720</v>
      </c>
      <c r="N344" t="s">
        <v>1210</v>
      </c>
      <c r="O344">
        <v>1000000</v>
      </c>
      <c r="P344">
        <v>1000000</v>
      </c>
    </row>
    <row r="345" spans="1:17">
      <c r="A345" t="s">
        <v>1721</v>
      </c>
      <c r="B345" s="26">
        <v>43559</v>
      </c>
      <c r="C345" s="26">
        <v>43559</v>
      </c>
      <c r="D345" t="s">
        <v>939</v>
      </c>
      <c r="E345" s="26"/>
      <c r="G345">
        <v>2018</v>
      </c>
      <c r="H345" t="s">
        <v>1722</v>
      </c>
      <c r="I345" t="s">
        <v>35</v>
      </c>
      <c r="J345" t="s">
        <v>1723</v>
      </c>
      <c r="K345">
        <v>57946</v>
      </c>
      <c r="L345" t="s">
        <v>1724</v>
      </c>
      <c r="M345" t="s">
        <v>1725</v>
      </c>
      <c r="N345" t="s">
        <v>963</v>
      </c>
      <c r="Q345">
        <v>57946</v>
      </c>
    </row>
    <row r="346" spans="1:17">
      <c r="A346" t="s">
        <v>1721</v>
      </c>
      <c r="B346" s="26">
        <v>43559</v>
      </c>
      <c r="C346" s="26">
        <v>43559</v>
      </c>
      <c r="D346" t="s">
        <v>939</v>
      </c>
      <c r="E346" s="26"/>
      <c r="G346">
        <v>2018</v>
      </c>
      <c r="H346" t="s">
        <v>1722</v>
      </c>
      <c r="I346" t="s">
        <v>35</v>
      </c>
      <c r="J346" t="s">
        <v>1723</v>
      </c>
      <c r="K346">
        <v>57946</v>
      </c>
      <c r="L346" t="s">
        <v>1726</v>
      </c>
      <c r="M346" t="s">
        <v>1725</v>
      </c>
      <c r="N346" t="s">
        <v>963</v>
      </c>
      <c r="O346">
        <v>57946</v>
      </c>
      <c r="Q346">
        <v>57946</v>
      </c>
    </row>
    <row r="347" spans="1:17">
      <c r="A347" t="s">
        <v>1727</v>
      </c>
      <c r="B347" s="26">
        <v>41288</v>
      </c>
      <c r="C347" s="26">
        <v>41288</v>
      </c>
      <c r="D347" t="s">
        <v>939</v>
      </c>
      <c r="E347" s="26"/>
      <c r="G347">
        <v>2012</v>
      </c>
      <c r="H347" t="s">
        <v>1728</v>
      </c>
      <c r="I347" t="s">
        <v>95</v>
      </c>
      <c r="J347" t="s">
        <v>95</v>
      </c>
      <c r="K347" t="s">
        <v>1729</v>
      </c>
      <c r="L347" t="s">
        <v>1730</v>
      </c>
      <c r="M347" t="s">
        <v>1731</v>
      </c>
      <c r="N347" t="s">
        <v>1310</v>
      </c>
      <c r="O347" t="s">
        <v>1729</v>
      </c>
      <c r="Q347">
        <v>505000</v>
      </c>
    </row>
    <row r="348" spans="1:17">
      <c r="A348" t="s">
        <v>1732</v>
      </c>
      <c r="B348" s="26">
        <v>43514</v>
      </c>
      <c r="C348" s="26">
        <v>43514</v>
      </c>
      <c r="D348" t="s">
        <v>939</v>
      </c>
      <c r="E348" s="26"/>
      <c r="G348">
        <v>2019</v>
      </c>
      <c r="H348" t="s">
        <v>1733</v>
      </c>
      <c r="I348" t="s">
        <v>136</v>
      </c>
      <c r="J348" t="s">
        <v>156</v>
      </c>
      <c r="K348">
        <v>3536180</v>
      </c>
      <c r="L348" t="s">
        <v>1734</v>
      </c>
      <c r="M348" t="s">
        <v>1367</v>
      </c>
      <c r="N348" t="s">
        <v>963</v>
      </c>
      <c r="O348">
        <v>3536180</v>
      </c>
      <c r="P348">
        <v>3536180</v>
      </c>
    </row>
    <row r="349" spans="1:17">
      <c r="A349" t="s">
        <v>1735</v>
      </c>
      <c r="B349" s="26">
        <v>43106</v>
      </c>
      <c r="C349" s="26">
        <v>43195</v>
      </c>
      <c r="D349" t="s">
        <v>939</v>
      </c>
      <c r="E349" s="26"/>
      <c r="G349">
        <v>2018</v>
      </c>
      <c r="H349" t="s">
        <v>1736</v>
      </c>
      <c r="I349" t="s">
        <v>136</v>
      </c>
      <c r="J349" t="s">
        <v>1737</v>
      </c>
      <c r="K349">
        <v>416110</v>
      </c>
      <c r="L349" t="s">
        <v>1738</v>
      </c>
      <c r="M349" t="s">
        <v>1367</v>
      </c>
      <c r="N349" t="s">
        <v>963</v>
      </c>
      <c r="O349">
        <v>416110</v>
      </c>
      <c r="P349">
        <v>2215176</v>
      </c>
    </row>
    <row r="350" spans="1:17">
      <c r="A350" t="s">
        <v>1739</v>
      </c>
      <c r="B350" s="26">
        <v>41643</v>
      </c>
      <c r="C350" s="26">
        <v>41643</v>
      </c>
      <c r="D350" t="s">
        <v>939</v>
      </c>
      <c r="E350" s="26"/>
      <c r="G350">
        <v>2013</v>
      </c>
      <c r="H350" t="s">
        <v>1740</v>
      </c>
      <c r="I350" t="s">
        <v>136</v>
      </c>
      <c r="J350" t="s">
        <v>156</v>
      </c>
      <c r="K350" t="s">
        <v>953</v>
      </c>
      <c r="L350" t="s">
        <v>1383</v>
      </c>
      <c r="M350" t="s">
        <v>1741</v>
      </c>
      <c r="N350" t="s">
        <v>963</v>
      </c>
    </row>
    <row r="351" spans="1:17">
      <c r="A351" t="s">
        <v>1742</v>
      </c>
      <c r="B351" s="26">
        <v>43843</v>
      </c>
      <c r="C351" s="26">
        <v>43868</v>
      </c>
      <c r="D351" t="s">
        <v>939</v>
      </c>
      <c r="E351" s="26"/>
      <c r="G351">
        <v>2020</v>
      </c>
      <c r="H351" t="s">
        <v>1743</v>
      </c>
      <c r="I351" t="s">
        <v>331</v>
      </c>
      <c r="J351" t="s">
        <v>156</v>
      </c>
      <c r="K351">
        <v>784280</v>
      </c>
      <c r="L351" t="s">
        <v>1744</v>
      </c>
      <c r="M351" t="s">
        <v>1378</v>
      </c>
      <c r="N351" t="s">
        <v>963</v>
      </c>
      <c r="O351">
        <v>784280</v>
      </c>
      <c r="P351">
        <v>784280</v>
      </c>
    </row>
    <row r="352" spans="1:17">
      <c r="A352" t="s">
        <v>1745</v>
      </c>
      <c r="B352" s="26">
        <v>44267</v>
      </c>
      <c r="C352" s="26">
        <v>44307</v>
      </c>
      <c r="D352" t="s">
        <v>939</v>
      </c>
      <c r="E352" s="26"/>
      <c r="G352">
        <v>2021</v>
      </c>
      <c r="H352" t="s">
        <v>1746</v>
      </c>
      <c r="I352" t="s">
        <v>331</v>
      </c>
      <c r="J352" t="s">
        <v>331</v>
      </c>
      <c r="K352">
        <v>1289910</v>
      </c>
      <c r="L352" t="s">
        <v>1747</v>
      </c>
      <c r="M352" t="s">
        <v>1378</v>
      </c>
      <c r="N352" t="s">
        <v>963</v>
      </c>
      <c r="O352">
        <v>1289910</v>
      </c>
      <c r="P352">
        <v>1289910</v>
      </c>
    </row>
    <row r="353" spans="1:17">
      <c r="A353" t="s">
        <v>1748</v>
      </c>
      <c r="B353" s="26">
        <v>42272</v>
      </c>
      <c r="C353" s="26">
        <v>42272</v>
      </c>
      <c r="D353" t="s">
        <v>939</v>
      </c>
      <c r="E353" s="26"/>
      <c r="G353">
        <v>2015</v>
      </c>
      <c r="H353" t="s">
        <v>1749</v>
      </c>
      <c r="I353" t="s">
        <v>331</v>
      </c>
      <c r="K353">
        <v>32453</v>
      </c>
      <c r="L353" t="s">
        <v>1750</v>
      </c>
      <c r="M353" t="s">
        <v>1751</v>
      </c>
      <c r="N353" t="s">
        <v>963</v>
      </c>
      <c r="O353">
        <v>32453</v>
      </c>
      <c r="P353">
        <v>157204</v>
      </c>
    </row>
    <row r="354" spans="1:17">
      <c r="A354" t="s">
        <v>1748</v>
      </c>
      <c r="B354" s="26">
        <v>42272</v>
      </c>
      <c r="C354" s="26">
        <v>42272</v>
      </c>
      <c r="D354" t="s">
        <v>939</v>
      </c>
      <c r="E354" s="26"/>
      <c r="G354">
        <v>2015</v>
      </c>
      <c r="H354" t="s">
        <v>1749</v>
      </c>
      <c r="I354" t="s">
        <v>331</v>
      </c>
      <c r="K354">
        <v>90616</v>
      </c>
      <c r="L354" t="s">
        <v>1752</v>
      </c>
      <c r="M354" t="s">
        <v>1751</v>
      </c>
      <c r="N354" t="s">
        <v>963</v>
      </c>
      <c r="O354">
        <v>90616</v>
      </c>
      <c r="P354">
        <v>157204</v>
      </c>
    </row>
    <row r="355" spans="1:17">
      <c r="A355" t="s">
        <v>1748</v>
      </c>
      <c r="B355" s="26">
        <v>42272</v>
      </c>
      <c r="C355" s="26">
        <v>42272</v>
      </c>
      <c r="D355" t="s">
        <v>939</v>
      </c>
      <c r="E355" s="26"/>
      <c r="G355">
        <v>2015</v>
      </c>
      <c r="H355" t="s">
        <v>1749</v>
      </c>
      <c r="I355" t="s">
        <v>331</v>
      </c>
      <c r="K355">
        <v>12965</v>
      </c>
      <c r="L355" t="s">
        <v>1753</v>
      </c>
      <c r="M355" t="s">
        <v>1751</v>
      </c>
      <c r="N355" t="s">
        <v>963</v>
      </c>
      <c r="O355">
        <v>12965</v>
      </c>
      <c r="P355">
        <v>157204</v>
      </c>
    </row>
    <row r="356" spans="1:17">
      <c r="A356" t="s">
        <v>1748</v>
      </c>
      <c r="B356" s="26">
        <v>42272</v>
      </c>
      <c r="C356" s="26">
        <v>42272</v>
      </c>
      <c r="D356" t="s">
        <v>939</v>
      </c>
      <c r="E356" s="26"/>
      <c r="G356">
        <v>2015</v>
      </c>
      <c r="H356" t="s">
        <v>1749</v>
      </c>
      <c r="I356" t="s">
        <v>331</v>
      </c>
      <c r="K356">
        <v>157204</v>
      </c>
      <c r="L356" t="s">
        <v>1754</v>
      </c>
      <c r="M356" t="s">
        <v>1751</v>
      </c>
      <c r="N356" t="s">
        <v>963</v>
      </c>
      <c r="P356">
        <v>157204</v>
      </c>
    </row>
    <row r="357" spans="1:17">
      <c r="A357" t="s">
        <v>1748</v>
      </c>
      <c r="B357" s="26">
        <v>42272</v>
      </c>
      <c r="C357" s="26">
        <v>42272</v>
      </c>
      <c r="D357" t="s">
        <v>939</v>
      </c>
      <c r="E357" s="26"/>
      <c r="G357">
        <v>2015</v>
      </c>
      <c r="H357" t="s">
        <v>1749</v>
      </c>
      <c r="I357" t="s">
        <v>331</v>
      </c>
      <c r="K357">
        <v>413</v>
      </c>
      <c r="L357" t="s">
        <v>1755</v>
      </c>
      <c r="M357" t="s">
        <v>1751</v>
      </c>
      <c r="N357" t="s">
        <v>963</v>
      </c>
      <c r="O357">
        <v>413</v>
      </c>
      <c r="P357">
        <v>157204</v>
      </c>
    </row>
    <row r="358" spans="1:17">
      <c r="A358" t="s">
        <v>1748</v>
      </c>
      <c r="B358" s="26">
        <v>42272</v>
      </c>
      <c r="C358" s="26">
        <v>42272</v>
      </c>
      <c r="D358" t="s">
        <v>939</v>
      </c>
      <c r="E358" s="26"/>
      <c r="G358">
        <v>2015</v>
      </c>
      <c r="H358" t="s">
        <v>1749</v>
      </c>
      <c r="I358" t="s">
        <v>331</v>
      </c>
      <c r="K358">
        <v>1023</v>
      </c>
      <c r="L358" t="s">
        <v>1756</v>
      </c>
      <c r="M358" t="s">
        <v>1751</v>
      </c>
      <c r="N358" t="s">
        <v>963</v>
      </c>
      <c r="O358">
        <v>1023</v>
      </c>
      <c r="P358">
        <v>157204</v>
      </c>
    </row>
    <row r="359" spans="1:17">
      <c r="A359" t="s">
        <v>1757</v>
      </c>
      <c r="B359" s="26">
        <v>43873</v>
      </c>
      <c r="C359" s="26">
        <v>43873</v>
      </c>
      <c r="D359" t="s">
        <v>939</v>
      </c>
      <c r="E359" s="26"/>
      <c r="G359">
        <v>2019</v>
      </c>
      <c r="H359" t="s">
        <v>1758</v>
      </c>
      <c r="I359" t="s">
        <v>331</v>
      </c>
      <c r="J359" t="s">
        <v>156</v>
      </c>
      <c r="K359" t="s">
        <v>1759</v>
      </c>
      <c r="L359" t="s">
        <v>1760</v>
      </c>
      <c r="M359" t="s">
        <v>1378</v>
      </c>
      <c r="N359" t="s">
        <v>963</v>
      </c>
      <c r="O359" t="s">
        <v>1759</v>
      </c>
      <c r="P359" t="s">
        <v>1761</v>
      </c>
    </row>
    <row r="360" spans="1:17">
      <c r="A360" t="s">
        <v>1757</v>
      </c>
      <c r="B360" s="26">
        <v>43873</v>
      </c>
      <c r="C360" s="26">
        <v>43873</v>
      </c>
      <c r="D360" t="s">
        <v>939</v>
      </c>
      <c r="E360" s="26"/>
      <c r="G360">
        <v>2019</v>
      </c>
      <c r="H360" t="s">
        <v>1758</v>
      </c>
      <c r="I360" t="s">
        <v>331</v>
      </c>
      <c r="J360" t="s">
        <v>156</v>
      </c>
      <c r="K360" t="s">
        <v>1762</v>
      </c>
      <c r="L360" t="s">
        <v>1390</v>
      </c>
      <c r="M360" t="s">
        <v>1378</v>
      </c>
      <c r="N360" t="s">
        <v>963</v>
      </c>
      <c r="O360" t="s">
        <v>1762</v>
      </c>
      <c r="P360" t="s">
        <v>1761</v>
      </c>
    </row>
    <row r="361" spans="1:17">
      <c r="A361" t="s">
        <v>1757</v>
      </c>
      <c r="B361" s="26">
        <v>43873</v>
      </c>
      <c r="C361" s="26">
        <v>43873</v>
      </c>
      <c r="D361" t="s">
        <v>939</v>
      </c>
      <c r="E361" s="26"/>
      <c r="G361">
        <v>2019</v>
      </c>
      <c r="H361" t="s">
        <v>1758</v>
      </c>
      <c r="I361" t="s">
        <v>331</v>
      </c>
      <c r="J361" t="s">
        <v>156</v>
      </c>
      <c r="K361" t="s">
        <v>1763</v>
      </c>
      <c r="L361" t="s">
        <v>1381</v>
      </c>
      <c r="M361" t="s">
        <v>1378</v>
      </c>
      <c r="N361" t="s">
        <v>963</v>
      </c>
      <c r="O361" t="s">
        <v>1763</v>
      </c>
      <c r="P361" t="s">
        <v>1761</v>
      </c>
    </row>
    <row r="362" spans="1:17">
      <c r="A362" t="s">
        <v>1757</v>
      </c>
      <c r="B362" s="26">
        <v>43873</v>
      </c>
      <c r="C362" s="26">
        <v>43873</v>
      </c>
      <c r="D362" t="s">
        <v>939</v>
      </c>
      <c r="E362" s="26"/>
      <c r="G362">
        <v>2019</v>
      </c>
      <c r="H362" t="s">
        <v>1758</v>
      </c>
      <c r="I362" t="s">
        <v>331</v>
      </c>
      <c r="J362" t="s">
        <v>156</v>
      </c>
      <c r="K362" t="s">
        <v>1764</v>
      </c>
      <c r="L362" t="s">
        <v>1765</v>
      </c>
      <c r="M362" t="s">
        <v>1378</v>
      </c>
      <c r="N362" t="s">
        <v>963</v>
      </c>
      <c r="O362" t="s">
        <v>1764</v>
      </c>
      <c r="P362" t="s">
        <v>1761</v>
      </c>
    </row>
    <row r="363" spans="1:17">
      <c r="A363" t="s">
        <v>1766</v>
      </c>
      <c r="B363" s="26">
        <v>44214</v>
      </c>
      <c r="C363" s="26">
        <v>44214</v>
      </c>
      <c r="D363" t="s">
        <v>939</v>
      </c>
      <c r="E363" s="26"/>
      <c r="G363">
        <v>2020</v>
      </c>
      <c r="H363" t="s">
        <v>1767</v>
      </c>
      <c r="I363" t="s">
        <v>136</v>
      </c>
      <c r="J363" t="s">
        <v>156</v>
      </c>
      <c r="K363">
        <v>247602</v>
      </c>
      <c r="L363" t="s">
        <v>1768</v>
      </c>
      <c r="M363" t="s">
        <v>1367</v>
      </c>
      <c r="N363" t="s">
        <v>963</v>
      </c>
      <c r="O363">
        <v>247602</v>
      </c>
      <c r="P363">
        <v>247602</v>
      </c>
    </row>
    <row r="364" spans="1:17">
      <c r="A364" t="s">
        <v>1769</v>
      </c>
      <c r="B364" s="26">
        <v>42726</v>
      </c>
      <c r="C364" s="26">
        <v>42726</v>
      </c>
      <c r="D364" t="s">
        <v>939</v>
      </c>
      <c r="E364" s="26"/>
      <c r="G364">
        <v>2016</v>
      </c>
      <c r="H364" t="s">
        <v>1770</v>
      </c>
      <c r="I364" t="s">
        <v>136</v>
      </c>
      <c r="J364" t="s">
        <v>156</v>
      </c>
      <c r="K364">
        <v>2680965</v>
      </c>
      <c r="L364" t="s">
        <v>1771</v>
      </c>
      <c r="M364" t="s">
        <v>1367</v>
      </c>
      <c r="N364" t="s">
        <v>963</v>
      </c>
      <c r="O364">
        <v>2680965</v>
      </c>
      <c r="P364">
        <v>2680965</v>
      </c>
    </row>
    <row r="365" spans="1:17">
      <c r="A365" t="s">
        <v>1772</v>
      </c>
      <c r="B365" s="26">
        <v>44601</v>
      </c>
      <c r="C365" s="26">
        <v>44601</v>
      </c>
      <c r="D365" t="s">
        <v>939</v>
      </c>
      <c r="E365" s="26"/>
      <c r="G365">
        <v>2021</v>
      </c>
      <c r="H365" t="s">
        <v>1773</v>
      </c>
      <c r="I365" t="s">
        <v>203</v>
      </c>
      <c r="K365" t="s">
        <v>953</v>
      </c>
      <c r="M365" t="s">
        <v>1774</v>
      </c>
    </row>
    <row r="366" spans="1:17">
      <c r="A366" t="s">
        <v>1775</v>
      </c>
      <c r="B366" s="26">
        <v>42185</v>
      </c>
      <c r="C366" s="26">
        <v>42185</v>
      </c>
      <c r="D366" t="s">
        <v>1206</v>
      </c>
      <c r="E366" s="26"/>
      <c r="G366">
        <v>2015</v>
      </c>
      <c r="H366" t="s">
        <v>1776</v>
      </c>
      <c r="I366" t="s">
        <v>33</v>
      </c>
      <c r="J366" t="s">
        <v>35</v>
      </c>
      <c r="K366">
        <v>992000</v>
      </c>
      <c r="L366" t="s">
        <v>1777</v>
      </c>
      <c r="M366" t="s">
        <v>1778</v>
      </c>
      <c r="N366" t="s">
        <v>1210</v>
      </c>
      <c r="P366">
        <v>992000</v>
      </c>
      <c r="Q366">
        <v>992000</v>
      </c>
    </row>
    <row r="367" spans="1:17">
      <c r="A367" t="s">
        <v>1779</v>
      </c>
      <c r="B367" s="26">
        <v>43050</v>
      </c>
      <c r="C367" s="26">
        <v>43050</v>
      </c>
      <c r="D367" t="s">
        <v>939</v>
      </c>
      <c r="E367" s="26"/>
      <c r="G367">
        <v>2017</v>
      </c>
      <c r="H367" t="s">
        <v>1780</v>
      </c>
      <c r="I367" t="s">
        <v>69</v>
      </c>
      <c r="K367">
        <v>461870</v>
      </c>
      <c r="M367" t="s">
        <v>1781</v>
      </c>
      <c r="N367" t="s">
        <v>963</v>
      </c>
      <c r="P367">
        <v>461870</v>
      </c>
    </row>
    <row r="368" spans="1:17">
      <c r="A368" t="s">
        <v>1782</v>
      </c>
      <c r="B368" s="26">
        <v>41641</v>
      </c>
      <c r="C368" s="26">
        <v>41641</v>
      </c>
      <c r="D368" t="s">
        <v>939</v>
      </c>
      <c r="E368" s="26"/>
      <c r="G368">
        <v>2013</v>
      </c>
      <c r="H368" t="s">
        <v>1783</v>
      </c>
      <c r="I368" t="s">
        <v>33</v>
      </c>
      <c r="J368" t="s">
        <v>44</v>
      </c>
      <c r="K368">
        <v>240000</v>
      </c>
      <c r="L368" t="s">
        <v>1784</v>
      </c>
      <c r="M368" t="s">
        <v>1409</v>
      </c>
      <c r="N368" t="s">
        <v>1210</v>
      </c>
      <c r="O368">
        <v>240000</v>
      </c>
      <c r="P368">
        <v>240000</v>
      </c>
      <c r="Q368">
        <v>300000</v>
      </c>
    </row>
    <row r="369" spans="1:17">
      <c r="A369" t="s">
        <v>1785</v>
      </c>
      <c r="B369" s="26">
        <v>41641</v>
      </c>
      <c r="C369" s="26">
        <v>41641</v>
      </c>
      <c r="D369" t="s">
        <v>939</v>
      </c>
      <c r="E369" s="26"/>
      <c r="G369">
        <v>2013</v>
      </c>
      <c r="H369" t="s">
        <v>1786</v>
      </c>
      <c r="I369" t="s">
        <v>33</v>
      </c>
      <c r="J369" t="s">
        <v>35</v>
      </c>
      <c r="K369">
        <v>764810</v>
      </c>
      <c r="L369" t="s">
        <v>1787</v>
      </c>
      <c r="M369" t="s">
        <v>1409</v>
      </c>
      <c r="N369" t="s">
        <v>1210</v>
      </c>
      <c r="O369">
        <v>764810</v>
      </c>
      <c r="P369">
        <v>764810</v>
      </c>
      <c r="Q369">
        <v>800000</v>
      </c>
    </row>
    <row r="370" spans="1:17">
      <c r="A370" t="s">
        <v>1788</v>
      </c>
      <c r="B370" s="26">
        <v>43495</v>
      </c>
      <c r="C370" s="26">
        <v>43495</v>
      </c>
      <c r="D370" t="s">
        <v>939</v>
      </c>
      <c r="E370" s="26"/>
      <c r="G370">
        <v>2018</v>
      </c>
      <c r="H370" t="s">
        <v>1789</v>
      </c>
      <c r="I370" t="s">
        <v>41</v>
      </c>
      <c r="K370" t="s">
        <v>953</v>
      </c>
      <c r="L370" t="s">
        <v>1790</v>
      </c>
      <c r="M370" t="s">
        <v>1791</v>
      </c>
      <c r="N370" t="s">
        <v>963</v>
      </c>
    </row>
    <row r="371" spans="1:17">
      <c r="A371" t="s">
        <v>1792</v>
      </c>
      <c r="B371" s="26">
        <v>43355</v>
      </c>
      <c r="C371" s="26">
        <v>43355</v>
      </c>
      <c r="D371" t="s">
        <v>939</v>
      </c>
      <c r="E371" s="26"/>
      <c r="G371">
        <v>2017</v>
      </c>
      <c r="H371" t="s">
        <v>1793</v>
      </c>
      <c r="I371" t="s">
        <v>41</v>
      </c>
      <c r="J371" t="s">
        <v>156</v>
      </c>
      <c r="K371" t="s">
        <v>953</v>
      </c>
      <c r="L371" t="s">
        <v>1382</v>
      </c>
      <c r="M371" t="s">
        <v>1794</v>
      </c>
      <c r="N371" t="s">
        <v>963</v>
      </c>
    </row>
    <row r="372" spans="1:17">
      <c r="A372" t="s">
        <v>1792</v>
      </c>
      <c r="B372" s="26">
        <v>43355</v>
      </c>
      <c r="C372" s="26">
        <v>43355</v>
      </c>
      <c r="D372" t="s">
        <v>939</v>
      </c>
      <c r="E372" s="26"/>
      <c r="G372">
        <v>2017</v>
      </c>
      <c r="H372" t="s">
        <v>1793</v>
      </c>
      <c r="I372" t="s">
        <v>41</v>
      </c>
      <c r="J372" t="s">
        <v>156</v>
      </c>
      <c r="K372" t="s">
        <v>953</v>
      </c>
      <c r="L372" t="s">
        <v>1370</v>
      </c>
      <c r="M372" t="s">
        <v>1794</v>
      </c>
      <c r="N372" t="s">
        <v>963</v>
      </c>
    </row>
    <row r="373" spans="1:17">
      <c r="A373" t="s">
        <v>1792</v>
      </c>
      <c r="B373" s="26">
        <v>43355</v>
      </c>
      <c r="C373" s="26">
        <v>43355</v>
      </c>
      <c r="D373" t="s">
        <v>939</v>
      </c>
      <c r="E373" s="26"/>
      <c r="G373">
        <v>2017</v>
      </c>
      <c r="H373" t="s">
        <v>1793</v>
      </c>
      <c r="I373" t="s">
        <v>41</v>
      </c>
      <c r="J373" t="s">
        <v>156</v>
      </c>
      <c r="K373" t="s">
        <v>953</v>
      </c>
      <c r="L373" t="s">
        <v>1795</v>
      </c>
      <c r="M373" t="s">
        <v>1794</v>
      </c>
      <c r="N373" t="s">
        <v>963</v>
      </c>
    </row>
    <row r="374" spans="1:17">
      <c r="A374" t="s">
        <v>1792</v>
      </c>
      <c r="B374" s="26">
        <v>43355</v>
      </c>
      <c r="C374" s="26">
        <v>43355</v>
      </c>
      <c r="D374" t="s">
        <v>939</v>
      </c>
      <c r="E374" s="26"/>
      <c r="G374">
        <v>2017</v>
      </c>
      <c r="H374" t="s">
        <v>1793</v>
      </c>
      <c r="I374" t="s">
        <v>41</v>
      </c>
      <c r="J374" t="s">
        <v>41</v>
      </c>
      <c r="K374" t="s">
        <v>953</v>
      </c>
      <c r="L374" t="s">
        <v>1796</v>
      </c>
      <c r="M374" t="s">
        <v>1794</v>
      </c>
      <c r="N374" t="s">
        <v>963</v>
      </c>
    </row>
    <row r="375" spans="1:17">
      <c r="A375" t="s">
        <v>1792</v>
      </c>
      <c r="B375" s="26">
        <v>43355</v>
      </c>
      <c r="C375" s="26">
        <v>43355</v>
      </c>
      <c r="D375" t="s">
        <v>939</v>
      </c>
      <c r="E375" s="26"/>
      <c r="G375">
        <v>2017</v>
      </c>
      <c r="H375" t="s">
        <v>1793</v>
      </c>
      <c r="I375" t="s">
        <v>41</v>
      </c>
      <c r="J375" t="s">
        <v>156</v>
      </c>
      <c r="K375" t="s">
        <v>953</v>
      </c>
      <c r="L375" t="s">
        <v>1797</v>
      </c>
      <c r="M375" t="s">
        <v>1794</v>
      </c>
      <c r="N375" t="s">
        <v>963</v>
      </c>
    </row>
    <row r="376" spans="1:17">
      <c r="A376" t="s">
        <v>1798</v>
      </c>
      <c r="B376" s="26">
        <v>40936</v>
      </c>
      <c r="C376" s="26">
        <v>40936</v>
      </c>
      <c r="D376" t="s">
        <v>939</v>
      </c>
      <c r="E376" s="26"/>
      <c r="G376">
        <v>2011</v>
      </c>
      <c r="H376" t="s">
        <v>1799</v>
      </c>
      <c r="I376" t="s">
        <v>33</v>
      </c>
      <c r="J376" t="s">
        <v>39</v>
      </c>
      <c r="K376">
        <v>398575</v>
      </c>
      <c r="L376" t="s">
        <v>1800</v>
      </c>
      <c r="M376" t="s">
        <v>1409</v>
      </c>
      <c r="N376" t="s">
        <v>1210</v>
      </c>
      <c r="O376">
        <v>398575</v>
      </c>
      <c r="P376">
        <v>398575</v>
      </c>
      <c r="Q376">
        <v>400000</v>
      </c>
    </row>
    <row r="377" spans="1:17">
      <c r="A377" t="s">
        <v>1801</v>
      </c>
      <c r="B377" s="26">
        <v>41641</v>
      </c>
      <c r="C377" s="26">
        <v>41641</v>
      </c>
      <c r="D377" t="s">
        <v>939</v>
      </c>
      <c r="E377" s="26"/>
      <c r="G377">
        <v>2013</v>
      </c>
      <c r="H377" t="s">
        <v>1802</v>
      </c>
      <c r="I377" t="s">
        <v>33</v>
      </c>
      <c r="J377" t="s">
        <v>33</v>
      </c>
      <c r="K377">
        <v>189734</v>
      </c>
      <c r="L377" t="s">
        <v>1803</v>
      </c>
      <c r="M377" t="s">
        <v>1409</v>
      </c>
      <c r="N377" t="s">
        <v>1210</v>
      </c>
      <c r="O377">
        <v>189734</v>
      </c>
      <c r="P377">
        <v>189734</v>
      </c>
      <c r="Q377">
        <v>200000</v>
      </c>
    </row>
    <row r="378" spans="1:17">
      <c r="A378" t="s">
        <v>1804</v>
      </c>
      <c r="B378" s="26">
        <v>41076</v>
      </c>
      <c r="C378" s="26">
        <v>41076</v>
      </c>
      <c r="D378" t="s">
        <v>939</v>
      </c>
      <c r="E378" s="26"/>
      <c r="G378">
        <v>2011</v>
      </c>
      <c r="H378" t="s">
        <v>1805</v>
      </c>
      <c r="I378" t="s">
        <v>33</v>
      </c>
      <c r="J378" t="s">
        <v>44</v>
      </c>
      <c r="K378">
        <v>1282165</v>
      </c>
      <c r="L378" t="s">
        <v>1408</v>
      </c>
      <c r="M378" t="s">
        <v>1409</v>
      </c>
      <c r="N378" t="s">
        <v>1210</v>
      </c>
      <c r="O378">
        <v>1282165</v>
      </c>
      <c r="P378">
        <v>1282165</v>
      </c>
      <c r="Q378">
        <v>1500000</v>
      </c>
    </row>
    <row r="379" spans="1:17">
      <c r="A379" t="s">
        <v>1806</v>
      </c>
      <c r="B379" s="26">
        <v>41299</v>
      </c>
      <c r="C379" s="26">
        <v>41299</v>
      </c>
      <c r="D379" t="s">
        <v>1206</v>
      </c>
      <c r="E379" s="26"/>
      <c r="G379">
        <v>2012</v>
      </c>
      <c r="H379" t="s">
        <v>1807</v>
      </c>
      <c r="I379" t="s">
        <v>33</v>
      </c>
      <c r="J379" t="s">
        <v>35</v>
      </c>
      <c r="K379">
        <v>3000000</v>
      </c>
      <c r="L379" t="s">
        <v>1808</v>
      </c>
      <c r="M379" t="s">
        <v>1409</v>
      </c>
      <c r="N379" t="s">
        <v>1210</v>
      </c>
      <c r="P379">
        <v>3000000</v>
      </c>
      <c r="Q379">
        <v>3000000</v>
      </c>
    </row>
    <row r="380" spans="1:17">
      <c r="A380" t="s">
        <v>1809</v>
      </c>
      <c r="B380" s="26">
        <v>42677</v>
      </c>
      <c r="C380" s="26">
        <v>42677</v>
      </c>
      <c r="D380" t="s">
        <v>939</v>
      </c>
      <c r="E380" s="26">
        <v>42681</v>
      </c>
      <c r="G380">
        <v>2016</v>
      </c>
      <c r="H380" t="s">
        <v>1810</v>
      </c>
      <c r="I380" t="s">
        <v>75</v>
      </c>
      <c r="J380" t="s">
        <v>75</v>
      </c>
      <c r="K380" t="s">
        <v>953</v>
      </c>
      <c r="L380" t="s">
        <v>948</v>
      </c>
      <c r="M380" t="s">
        <v>943</v>
      </c>
      <c r="N380" t="s">
        <v>944</v>
      </c>
    </row>
    <row r="381" spans="1:17">
      <c r="A381" t="s">
        <v>1811</v>
      </c>
      <c r="B381" s="26">
        <v>41787</v>
      </c>
      <c r="C381" s="26">
        <v>41787</v>
      </c>
      <c r="D381" t="s">
        <v>939</v>
      </c>
      <c r="E381" s="26">
        <v>41788</v>
      </c>
      <c r="G381">
        <v>2014</v>
      </c>
      <c r="H381" t="s">
        <v>1812</v>
      </c>
      <c r="I381" t="s">
        <v>75</v>
      </c>
      <c r="J381" t="s">
        <v>75</v>
      </c>
      <c r="K381" t="s">
        <v>953</v>
      </c>
      <c r="L381" t="s">
        <v>942</v>
      </c>
      <c r="M381" t="s">
        <v>943</v>
      </c>
      <c r="N381" t="s">
        <v>944</v>
      </c>
    </row>
    <row r="382" spans="1:17">
      <c r="A382" t="s">
        <v>1813</v>
      </c>
      <c r="B382" s="26">
        <v>42384</v>
      </c>
      <c r="C382" s="26">
        <v>42384</v>
      </c>
      <c r="D382" t="s">
        <v>939</v>
      </c>
      <c r="E382" s="26">
        <v>42384</v>
      </c>
      <c r="G382">
        <v>2016</v>
      </c>
      <c r="H382" t="s">
        <v>1163</v>
      </c>
      <c r="I382" t="s">
        <v>75</v>
      </c>
      <c r="J382" t="s">
        <v>75</v>
      </c>
      <c r="K382" t="s">
        <v>953</v>
      </c>
      <c r="L382" t="s">
        <v>942</v>
      </c>
      <c r="M382" t="s">
        <v>968</v>
      </c>
    </row>
    <row r="383" spans="1:17">
      <c r="A383" t="s">
        <v>1814</v>
      </c>
      <c r="B383" s="26">
        <v>42613</v>
      </c>
      <c r="C383" s="26">
        <v>42613</v>
      </c>
      <c r="D383" t="s">
        <v>939</v>
      </c>
      <c r="E383" s="26">
        <v>42613</v>
      </c>
      <c r="G383">
        <v>2016</v>
      </c>
      <c r="H383" t="s">
        <v>1026</v>
      </c>
      <c r="I383" t="s">
        <v>75</v>
      </c>
      <c r="J383" t="s">
        <v>75</v>
      </c>
      <c r="K383">
        <v>131336</v>
      </c>
      <c r="L383" t="s">
        <v>942</v>
      </c>
      <c r="M383" t="s">
        <v>968</v>
      </c>
      <c r="O383">
        <v>131336</v>
      </c>
    </row>
    <row r="384" spans="1:17">
      <c r="A384" t="s">
        <v>1815</v>
      </c>
      <c r="B384" s="26">
        <v>44109</v>
      </c>
      <c r="C384" s="26">
        <v>44109</v>
      </c>
      <c r="D384" t="s">
        <v>939</v>
      </c>
      <c r="E384" s="26">
        <v>44109</v>
      </c>
      <c r="G384">
        <v>2020</v>
      </c>
      <c r="H384" t="s">
        <v>1816</v>
      </c>
      <c r="I384" t="s">
        <v>75</v>
      </c>
      <c r="J384" t="s">
        <v>75</v>
      </c>
      <c r="K384" t="s">
        <v>1817</v>
      </c>
      <c r="L384" t="s">
        <v>967</v>
      </c>
      <c r="M384" t="s">
        <v>968</v>
      </c>
      <c r="O384" t="s">
        <v>1817</v>
      </c>
    </row>
    <row r="385" spans="1:15">
      <c r="A385" t="s">
        <v>1818</v>
      </c>
      <c r="B385" s="26">
        <v>42698</v>
      </c>
      <c r="C385" s="26">
        <v>42698</v>
      </c>
      <c r="D385" t="s">
        <v>939</v>
      </c>
      <c r="E385" s="26">
        <v>42698</v>
      </c>
      <c r="G385">
        <v>2016</v>
      </c>
      <c r="H385" t="s">
        <v>1819</v>
      </c>
      <c r="I385" t="s">
        <v>75</v>
      </c>
      <c r="J385" t="s">
        <v>75</v>
      </c>
      <c r="K385" t="s">
        <v>1820</v>
      </c>
      <c r="L385" t="s">
        <v>942</v>
      </c>
      <c r="M385" t="s">
        <v>943</v>
      </c>
      <c r="N385" t="s">
        <v>944</v>
      </c>
      <c r="O385" t="s">
        <v>1820</v>
      </c>
    </row>
    <row r="386" spans="1:15">
      <c r="A386" t="s">
        <v>1821</v>
      </c>
      <c r="B386" s="26">
        <v>42453</v>
      </c>
      <c r="C386" s="26">
        <v>42453</v>
      </c>
      <c r="D386" t="s">
        <v>939</v>
      </c>
      <c r="E386" s="26">
        <v>42453</v>
      </c>
      <c r="G386">
        <v>2016</v>
      </c>
      <c r="H386" t="s">
        <v>1822</v>
      </c>
      <c r="I386" t="s">
        <v>75</v>
      </c>
      <c r="J386" t="s">
        <v>75</v>
      </c>
      <c r="K386" t="s">
        <v>1061</v>
      </c>
      <c r="L386" t="s">
        <v>942</v>
      </c>
      <c r="M386" t="s">
        <v>968</v>
      </c>
      <c r="O386" t="s">
        <v>1061</v>
      </c>
    </row>
    <row r="387" spans="1:15">
      <c r="A387" t="s">
        <v>1823</v>
      </c>
      <c r="B387" s="26">
        <v>44068</v>
      </c>
      <c r="C387" s="26">
        <v>44068</v>
      </c>
      <c r="D387" t="s">
        <v>939</v>
      </c>
      <c r="E387" s="26">
        <v>44068</v>
      </c>
      <c r="G387">
        <v>2020</v>
      </c>
      <c r="H387" t="s">
        <v>1824</v>
      </c>
      <c r="I387" t="s">
        <v>75</v>
      </c>
      <c r="J387" t="s">
        <v>75</v>
      </c>
      <c r="K387" t="s">
        <v>1825</v>
      </c>
      <c r="L387" t="s">
        <v>967</v>
      </c>
      <c r="M387" t="s">
        <v>943</v>
      </c>
      <c r="N387" t="s">
        <v>944</v>
      </c>
      <c r="O387" t="s">
        <v>1825</v>
      </c>
    </row>
    <row r="388" spans="1:15">
      <c r="A388" t="s">
        <v>1826</v>
      </c>
      <c r="B388" s="26">
        <v>44068</v>
      </c>
      <c r="C388" s="26">
        <v>44068</v>
      </c>
      <c r="D388" t="s">
        <v>939</v>
      </c>
      <c r="E388" s="26">
        <v>44068</v>
      </c>
      <c r="G388">
        <v>2020</v>
      </c>
      <c r="H388" t="s">
        <v>1827</v>
      </c>
      <c r="I388" t="s">
        <v>75</v>
      </c>
      <c r="J388" t="s">
        <v>75</v>
      </c>
      <c r="K388" t="s">
        <v>1828</v>
      </c>
      <c r="L388" t="s">
        <v>967</v>
      </c>
      <c r="M388" t="s">
        <v>943</v>
      </c>
      <c r="N388" t="s">
        <v>944</v>
      </c>
      <c r="O388" t="s">
        <v>1828</v>
      </c>
    </row>
    <row r="389" spans="1:15">
      <c r="A389" t="s">
        <v>1829</v>
      </c>
      <c r="B389" s="26">
        <v>42550</v>
      </c>
      <c r="C389" s="26">
        <v>42550</v>
      </c>
      <c r="D389" t="s">
        <v>939</v>
      </c>
      <c r="E389" s="26">
        <v>42550</v>
      </c>
      <c r="G389">
        <v>2016</v>
      </c>
      <c r="H389" t="s">
        <v>1095</v>
      </c>
      <c r="I389" t="s">
        <v>75</v>
      </c>
      <c r="J389" t="s">
        <v>75</v>
      </c>
      <c r="K389" t="s">
        <v>953</v>
      </c>
      <c r="L389" t="s">
        <v>942</v>
      </c>
      <c r="M389" t="s">
        <v>943</v>
      </c>
      <c r="N389" t="s">
        <v>944</v>
      </c>
    </row>
    <row r="390" spans="1:15">
      <c r="A390" t="s">
        <v>1830</v>
      </c>
      <c r="B390" s="26">
        <v>41787</v>
      </c>
      <c r="C390" s="26">
        <v>41787</v>
      </c>
      <c r="D390" t="s">
        <v>939</v>
      </c>
      <c r="E390" s="26">
        <v>41788</v>
      </c>
      <c r="G390">
        <v>2014</v>
      </c>
      <c r="H390" t="s">
        <v>1831</v>
      </c>
      <c r="I390" t="s">
        <v>75</v>
      </c>
      <c r="J390" t="s">
        <v>75</v>
      </c>
      <c r="K390" t="s">
        <v>953</v>
      </c>
      <c r="L390" t="s">
        <v>942</v>
      </c>
      <c r="M390" t="s">
        <v>943</v>
      </c>
      <c r="N390" t="s">
        <v>944</v>
      </c>
    </row>
    <row r="391" spans="1:15">
      <c r="A391" t="s">
        <v>1832</v>
      </c>
      <c r="B391" s="26">
        <v>42453</v>
      </c>
      <c r="C391" s="26">
        <v>42453</v>
      </c>
      <c r="D391" t="s">
        <v>939</v>
      </c>
      <c r="E391" s="26">
        <v>42453</v>
      </c>
      <c r="G391">
        <v>2016</v>
      </c>
      <c r="H391" t="s">
        <v>1833</v>
      </c>
      <c r="I391" t="s">
        <v>75</v>
      </c>
      <c r="J391" t="s">
        <v>75</v>
      </c>
      <c r="K391" t="s">
        <v>953</v>
      </c>
      <c r="L391" t="s">
        <v>942</v>
      </c>
      <c r="M391" t="s">
        <v>968</v>
      </c>
    </row>
    <row r="392" spans="1:15">
      <c r="A392" t="s">
        <v>1834</v>
      </c>
      <c r="B392" s="26">
        <v>42345</v>
      </c>
      <c r="C392" s="26">
        <v>42345</v>
      </c>
      <c r="D392" t="s">
        <v>939</v>
      </c>
      <c r="E392" s="26">
        <v>42346</v>
      </c>
      <c r="G392">
        <v>2015</v>
      </c>
      <c r="H392" t="s">
        <v>1835</v>
      </c>
      <c r="I392" t="s">
        <v>75</v>
      </c>
      <c r="J392" t="s">
        <v>75</v>
      </c>
      <c r="K392" t="s">
        <v>1836</v>
      </c>
      <c r="L392" t="s">
        <v>942</v>
      </c>
      <c r="M392" t="s">
        <v>943</v>
      </c>
      <c r="N392" t="s">
        <v>944</v>
      </c>
      <c r="O392" t="s">
        <v>1836</v>
      </c>
    </row>
    <row r="393" spans="1:15">
      <c r="A393" t="s">
        <v>1837</v>
      </c>
      <c r="B393" s="26">
        <v>42345</v>
      </c>
      <c r="C393" s="26">
        <v>42345</v>
      </c>
      <c r="D393" t="s">
        <v>939</v>
      </c>
      <c r="E393" s="26">
        <v>42346</v>
      </c>
      <c r="G393">
        <v>2015</v>
      </c>
      <c r="H393" t="s">
        <v>1523</v>
      </c>
      <c r="I393" t="s">
        <v>75</v>
      </c>
      <c r="J393" t="s">
        <v>75</v>
      </c>
      <c r="K393" t="s">
        <v>1838</v>
      </c>
      <c r="L393" t="s">
        <v>942</v>
      </c>
      <c r="M393" t="s">
        <v>943</v>
      </c>
      <c r="N393" t="s">
        <v>944</v>
      </c>
      <c r="O393" t="s">
        <v>1838</v>
      </c>
    </row>
    <row r="394" spans="1:15">
      <c r="A394" t="s">
        <v>1839</v>
      </c>
      <c r="B394" s="26">
        <v>41787</v>
      </c>
      <c r="C394" s="26">
        <v>41787</v>
      </c>
      <c r="D394" t="s">
        <v>939</v>
      </c>
      <c r="E394" s="26">
        <v>41788</v>
      </c>
      <c r="G394">
        <v>2014</v>
      </c>
      <c r="H394" t="s">
        <v>1840</v>
      </c>
      <c r="I394" t="s">
        <v>75</v>
      </c>
      <c r="J394" t="s">
        <v>75</v>
      </c>
      <c r="K394" t="s">
        <v>953</v>
      </c>
      <c r="L394" t="s">
        <v>942</v>
      </c>
      <c r="M394" t="s">
        <v>943</v>
      </c>
      <c r="N394" t="s">
        <v>944</v>
      </c>
    </row>
    <row r="395" spans="1:15">
      <c r="A395" t="s">
        <v>1841</v>
      </c>
      <c r="B395" s="26">
        <v>41787</v>
      </c>
      <c r="C395" s="26">
        <v>41787</v>
      </c>
      <c r="D395" t="s">
        <v>939</v>
      </c>
      <c r="E395" s="26">
        <v>41788</v>
      </c>
      <c r="G395">
        <v>2014</v>
      </c>
      <c r="H395" t="s">
        <v>1842</v>
      </c>
      <c r="I395" t="s">
        <v>75</v>
      </c>
      <c r="J395" t="s">
        <v>75</v>
      </c>
      <c r="K395" t="s">
        <v>953</v>
      </c>
      <c r="L395" t="s">
        <v>942</v>
      </c>
      <c r="M395" t="s">
        <v>943</v>
      </c>
      <c r="N395" t="s">
        <v>944</v>
      </c>
    </row>
    <row r="396" spans="1:15">
      <c r="A396" t="s">
        <v>1843</v>
      </c>
      <c r="B396" s="26">
        <v>42549</v>
      </c>
      <c r="C396" s="26">
        <v>42549</v>
      </c>
      <c r="D396" t="s">
        <v>939</v>
      </c>
      <c r="E396" s="26">
        <v>42550</v>
      </c>
      <c r="G396">
        <v>2016</v>
      </c>
      <c r="H396" t="s">
        <v>1844</v>
      </c>
      <c r="I396" t="s">
        <v>75</v>
      </c>
      <c r="J396" t="s">
        <v>75</v>
      </c>
      <c r="K396" t="s">
        <v>953</v>
      </c>
      <c r="L396" t="s">
        <v>942</v>
      </c>
      <c r="M396" t="s">
        <v>943</v>
      </c>
      <c r="N396" t="s">
        <v>944</v>
      </c>
    </row>
    <row r="397" spans="1:15">
      <c r="A397" t="s">
        <v>1845</v>
      </c>
      <c r="B397" s="26">
        <v>42453</v>
      </c>
      <c r="C397" s="26">
        <v>42453</v>
      </c>
      <c r="D397" t="s">
        <v>939</v>
      </c>
      <c r="E397" s="26">
        <v>42453</v>
      </c>
      <c r="G397">
        <v>2016</v>
      </c>
      <c r="H397" t="s">
        <v>984</v>
      </c>
      <c r="I397" t="s">
        <v>75</v>
      </c>
      <c r="J397" t="s">
        <v>75</v>
      </c>
      <c r="K397" t="s">
        <v>985</v>
      </c>
      <c r="L397" t="s">
        <v>942</v>
      </c>
      <c r="M397" t="s">
        <v>968</v>
      </c>
      <c r="O397" t="s">
        <v>985</v>
      </c>
    </row>
    <row r="398" spans="1:15">
      <c r="A398" t="s">
        <v>1846</v>
      </c>
      <c r="B398" s="26">
        <v>41159</v>
      </c>
      <c r="C398" s="26">
        <v>41159</v>
      </c>
      <c r="D398" t="s">
        <v>939</v>
      </c>
      <c r="E398" s="26">
        <v>41162</v>
      </c>
      <c r="G398">
        <v>2012</v>
      </c>
      <c r="H398" t="s">
        <v>1847</v>
      </c>
      <c r="I398" t="s">
        <v>75</v>
      </c>
      <c r="J398" t="s">
        <v>75</v>
      </c>
      <c r="K398" t="s">
        <v>953</v>
      </c>
      <c r="L398" t="s">
        <v>948</v>
      </c>
      <c r="M398" t="s">
        <v>1036</v>
      </c>
      <c r="N398" t="s">
        <v>963</v>
      </c>
    </row>
    <row r="399" spans="1:15">
      <c r="A399" t="s">
        <v>1848</v>
      </c>
      <c r="B399" s="26">
        <v>42345</v>
      </c>
      <c r="C399" s="26">
        <v>42345</v>
      </c>
      <c r="D399" t="s">
        <v>939</v>
      </c>
      <c r="E399" s="26">
        <v>42346</v>
      </c>
      <c r="G399">
        <v>2015</v>
      </c>
      <c r="H399" t="s">
        <v>1849</v>
      </c>
      <c r="I399" t="s">
        <v>75</v>
      </c>
      <c r="J399" t="s">
        <v>75</v>
      </c>
      <c r="K399" t="s">
        <v>1453</v>
      </c>
      <c r="L399" t="s">
        <v>942</v>
      </c>
      <c r="M399" t="s">
        <v>943</v>
      </c>
      <c r="N399" t="s">
        <v>944</v>
      </c>
      <c r="O399" t="s">
        <v>1453</v>
      </c>
    </row>
    <row r="400" spans="1:15">
      <c r="A400" t="s">
        <v>1850</v>
      </c>
      <c r="B400" s="26">
        <v>44055</v>
      </c>
      <c r="C400" s="26">
        <v>44055</v>
      </c>
      <c r="D400" t="s">
        <v>939</v>
      </c>
      <c r="E400" s="26">
        <v>44055</v>
      </c>
      <c r="G400">
        <v>2020</v>
      </c>
      <c r="H400" t="s">
        <v>1851</v>
      </c>
      <c r="I400" t="s">
        <v>75</v>
      </c>
      <c r="J400" t="s">
        <v>75</v>
      </c>
      <c r="K400" t="s">
        <v>1852</v>
      </c>
      <c r="L400" t="s">
        <v>967</v>
      </c>
      <c r="M400" t="s">
        <v>968</v>
      </c>
      <c r="O400" t="s">
        <v>1852</v>
      </c>
    </row>
    <row r="401" spans="1:15">
      <c r="A401" t="s">
        <v>1853</v>
      </c>
      <c r="B401" s="26">
        <v>43213</v>
      </c>
      <c r="C401" s="26">
        <v>43213</v>
      </c>
      <c r="D401" t="s">
        <v>939</v>
      </c>
      <c r="E401" s="26">
        <v>43213</v>
      </c>
      <c r="G401">
        <v>2018</v>
      </c>
      <c r="H401" t="s">
        <v>1854</v>
      </c>
      <c r="I401" t="s">
        <v>75</v>
      </c>
      <c r="J401" t="s">
        <v>75</v>
      </c>
      <c r="K401" t="s">
        <v>1855</v>
      </c>
      <c r="L401" t="s">
        <v>1856</v>
      </c>
      <c r="M401" t="s">
        <v>1857</v>
      </c>
      <c r="N401" t="s">
        <v>963</v>
      </c>
      <c r="O401" t="s">
        <v>1855</v>
      </c>
    </row>
    <row r="402" spans="1:15">
      <c r="A402" t="s">
        <v>1858</v>
      </c>
      <c r="B402" s="26">
        <v>43447</v>
      </c>
      <c r="C402" s="26">
        <v>43447</v>
      </c>
      <c r="D402" t="s">
        <v>939</v>
      </c>
      <c r="E402" s="26">
        <v>43447</v>
      </c>
      <c r="G402">
        <v>2018</v>
      </c>
      <c r="H402" t="s">
        <v>1859</v>
      </c>
      <c r="I402" t="s">
        <v>75</v>
      </c>
      <c r="J402" t="s">
        <v>75</v>
      </c>
      <c r="K402" t="s">
        <v>1860</v>
      </c>
      <c r="L402" t="s">
        <v>948</v>
      </c>
      <c r="M402" t="s">
        <v>943</v>
      </c>
      <c r="N402" t="s">
        <v>944</v>
      </c>
      <c r="O402" t="s">
        <v>1860</v>
      </c>
    </row>
    <row r="403" spans="1:15">
      <c r="A403" t="s">
        <v>1861</v>
      </c>
      <c r="B403" s="26">
        <v>42384</v>
      </c>
      <c r="C403" s="26">
        <v>42384</v>
      </c>
      <c r="D403" t="s">
        <v>939</v>
      </c>
      <c r="E403" s="26">
        <v>42384</v>
      </c>
      <c r="G403">
        <v>2016</v>
      </c>
      <c r="H403" t="s">
        <v>1862</v>
      </c>
      <c r="I403" t="s">
        <v>75</v>
      </c>
      <c r="J403" t="s">
        <v>75</v>
      </c>
      <c r="K403" t="s">
        <v>953</v>
      </c>
      <c r="L403" t="s">
        <v>942</v>
      </c>
      <c r="M403" t="s">
        <v>968</v>
      </c>
    </row>
    <row r="404" spans="1:15">
      <c r="A404" t="s">
        <v>1863</v>
      </c>
      <c r="B404" s="26">
        <v>42346</v>
      </c>
      <c r="C404" s="26">
        <v>42346</v>
      </c>
      <c r="D404" t="s">
        <v>939</v>
      </c>
      <c r="E404" s="26">
        <v>42346</v>
      </c>
      <c r="G404">
        <v>2015</v>
      </c>
      <c r="H404" t="s">
        <v>1864</v>
      </c>
      <c r="I404" t="s">
        <v>75</v>
      </c>
      <c r="J404" t="s">
        <v>75</v>
      </c>
      <c r="K404" t="s">
        <v>1865</v>
      </c>
      <c r="L404" t="s">
        <v>942</v>
      </c>
      <c r="M404" t="s">
        <v>943</v>
      </c>
      <c r="N404" t="s">
        <v>944</v>
      </c>
      <c r="O404" t="s">
        <v>1865</v>
      </c>
    </row>
    <row r="405" spans="1:15">
      <c r="A405" t="s">
        <v>1866</v>
      </c>
      <c r="B405" s="26">
        <v>43577</v>
      </c>
      <c r="C405" s="26">
        <v>43577</v>
      </c>
      <c r="D405" t="s">
        <v>939</v>
      </c>
      <c r="E405" s="26">
        <v>43577</v>
      </c>
      <c r="G405">
        <v>2019</v>
      </c>
      <c r="H405" t="s">
        <v>1867</v>
      </c>
      <c r="I405" t="s">
        <v>75</v>
      </c>
      <c r="J405" t="s">
        <v>75</v>
      </c>
      <c r="K405" t="s">
        <v>1868</v>
      </c>
      <c r="L405" t="s">
        <v>967</v>
      </c>
      <c r="M405" t="s">
        <v>968</v>
      </c>
      <c r="O405" t="s">
        <v>1868</v>
      </c>
    </row>
    <row r="406" spans="1:15">
      <c r="A406" t="s">
        <v>1869</v>
      </c>
      <c r="B406" s="26">
        <v>42550</v>
      </c>
      <c r="C406" s="26">
        <v>42550</v>
      </c>
      <c r="D406" t="s">
        <v>939</v>
      </c>
      <c r="E406" s="26">
        <v>42550</v>
      </c>
      <c r="G406">
        <v>2016</v>
      </c>
      <c r="H406" t="s">
        <v>1870</v>
      </c>
      <c r="I406" t="s">
        <v>75</v>
      </c>
      <c r="J406" t="s">
        <v>75</v>
      </c>
      <c r="K406" t="s">
        <v>953</v>
      </c>
      <c r="L406" t="s">
        <v>942</v>
      </c>
      <c r="M406" t="s">
        <v>943</v>
      </c>
      <c r="N406" t="s">
        <v>944</v>
      </c>
    </row>
    <row r="407" spans="1:15">
      <c r="A407" t="s">
        <v>1871</v>
      </c>
      <c r="B407" s="26">
        <v>44068</v>
      </c>
      <c r="C407" s="26">
        <v>44068</v>
      </c>
      <c r="D407" t="s">
        <v>939</v>
      </c>
      <c r="E407" s="26">
        <v>44068</v>
      </c>
      <c r="G407">
        <v>2020</v>
      </c>
      <c r="H407" t="s">
        <v>1872</v>
      </c>
      <c r="I407" t="s">
        <v>75</v>
      </c>
      <c r="J407" t="s">
        <v>75</v>
      </c>
      <c r="K407" t="s">
        <v>1873</v>
      </c>
      <c r="L407" t="s">
        <v>967</v>
      </c>
      <c r="M407" t="s">
        <v>943</v>
      </c>
      <c r="N407" t="s">
        <v>944</v>
      </c>
      <c r="O407" t="s">
        <v>1873</v>
      </c>
    </row>
    <row r="408" spans="1:15">
      <c r="A408" t="s">
        <v>1874</v>
      </c>
      <c r="B408" s="26">
        <v>44068</v>
      </c>
      <c r="C408" s="26">
        <v>44068</v>
      </c>
      <c r="D408" t="s">
        <v>939</v>
      </c>
      <c r="E408" s="26">
        <v>44068</v>
      </c>
      <c r="G408">
        <v>2020</v>
      </c>
      <c r="H408" t="s">
        <v>1875</v>
      </c>
      <c r="I408" t="s">
        <v>75</v>
      </c>
      <c r="J408" t="s">
        <v>75</v>
      </c>
      <c r="K408" t="s">
        <v>953</v>
      </c>
      <c r="L408" t="s">
        <v>967</v>
      </c>
      <c r="M408" t="s">
        <v>943</v>
      </c>
      <c r="N408" t="s">
        <v>944</v>
      </c>
    </row>
    <row r="409" spans="1:15">
      <c r="A409" t="s">
        <v>1876</v>
      </c>
      <c r="B409" s="26">
        <v>44103</v>
      </c>
      <c r="C409" s="26">
        <v>44103</v>
      </c>
      <c r="D409" t="s">
        <v>939</v>
      </c>
      <c r="E409" s="26">
        <v>44103</v>
      </c>
      <c r="G409">
        <v>2020</v>
      </c>
      <c r="H409" t="s">
        <v>1877</v>
      </c>
      <c r="I409" t="s">
        <v>75</v>
      </c>
      <c r="J409" t="s">
        <v>75</v>
      </c>
      <c r="K409">
        <v>1195806</v>
      </c>
      <c r="L409" t="s">
        <v>1878</v>
      </c>
      <c r="M409" t="s">
        <v>1122</v>
      </c>
      <c r="N409" t="s">
        <v>963</v>
      </c>
      <c r="O409">
        <v>1195806</v>
      </c>
    </row>
    <row r="410" spans="1:15">
      <c r="A410" t="s">
        <v>1879</v>
      </c>
      <c r="B410" s="26">
        <v>44068</v>
      </c>
      <c r="C410" s="26">
        <v>44068</v>
      </c>
      <c r="D410" t="s">
        <v>939</v>
      </c>
      <c r="E410" s="26">
        <v>44068</v>
      </c>
      <c r="G410">
        <v>2020</v>
      </c>
      <c r="H410" t="s">
        <v>1880</v>
      </c>
      <c r="I410" t="s">
        <v>75</v>
      </c>
      <c r="J410" t="s">
        <v>75</v>
      </c>
      <c r="K410" t="s">
        <v>1881</v>
      </c>
      <c r="L410" t="s">
        <v>967</v>
      </c>
      <c r="M410" t="s">
        <v>943</v>
      </c>
      <c r="N410" t="s">
        <v>944</v>
      </c>
      <c r="O410" t="s">
        <v>1881</v>
      </c>
    </row>
    <row r="411" spans="1:15">
      <c r="A411" t="s">
        <v>1882</v>
      </c>
      <c r="B411" s="26">
        <v>44004</v>
      </c>
      <c r="C411" s="26">
        <v>44004</v>
      </c>
      <c r="D411" t="s">
        <v>939</v>
      </c>
      <c r="E411" s="26">
        <v>44004</v>
      </c>
      <c r="G411">
        <v>2020</v>
      </c>
      <c r="H411" t="s">
        <v>1883</v>
      </c>
      <c r="I411" t="s">
        <v>75</v>
      </c>
      <c r="J411" t="s">
        <v>75</v>
      </c>
      <c r="K411" t="s">
        <v>1884</v>
      </c>
      <c r="L411" t="s">
        <v>967</v>
      </c>
      <c r="M411" t="s">
        <v>968</v>
      </c>
      <c r="O411" t="s">
        <v>1884</v>
      </c>
    </row>
    <row r="412" spans="1:15">
      <c r="A412" t="s">
        <v>1885</v>
      </c>
      <c r="B412" s="26">
        <v>42677</v>
      </c>
      <c r="C412" s="26">
        <v>42677</v>
      </c>
      <c r="D412" t="s">
        <v>939</v>
      </c>
      <c r="E412" s="26">
        <v>42681</v>
      </c>
      <c r="G412">
        <v>2016</v>
      </c>
      <c r="H412" t="s">
        <v>1886</v>
      </c>
      <c r="I412" t="s">
        <v>75</v>
      </c>
      <c r="J412" t="s">
        <v>75</v>
      </c>
      <c r="K412" t="s">
        <v>1887</v>
      </c>
      <c r="L412" t="s">
        <v>948</v>
      </c>
      <c r="M412" t="s">
        <v>943</v>
      </c>
      <c r="N412" t="s">
        <v>944</v>
      </c>
      <c r="O412" t="s">
        <v>1887</v>
      </c>
    </row>
    <row r="413" spans="1:15">
      <c r="A413" t="s">
        <v>1888</v>
      </c>
      <c r="B413" s="26">
        <v>41159</v>
      </c>
      <c r="C413" s="26">
        <v>41159</v>
      </c>
      <c r="D413" t="s">
        <v>939</v>
      </c>
      <c r="E413" s="26">
        <v>41162</v>
      </c>
      <c r="G413">
        <v>2012</v>
      </c>
      <c r="H413" t="s">
        <v>1889</v>
      </c>
      <c r="I413" t="s">
        <v>75</v>
      </c>
      <c r="J413" t="s">
        <v>75</v>
      </c>
      <c r="K413" t="s">
        <v>1890</v>
      </c>
      <c r="L413" t="s">
        <v>948</v>
      </c>
      <c r="M413" t="s">
        <v>1036</v>
      </c>
      <c r="N413" t="s">
        <v>963</v>
      </c>
      <c r="O413" t="s">
        <v>1890</v>
      </c>
    </row>
    <row r="414" spans="1:15">
      <c r="A414" t="s">
        <v>1891</v>
      </c>
      <c r="B414" s="26">
        <v>42613</v>
      </c>
      <c r="C414" s="26">
        <v>42613</v>
      </c>
      <c r="D414" t="s">
        <v>939</v>
      </c>
      <c r="E414" s="26">
        <v>42613</v>
      </c>
      <c r="G414">
        <v>2016</v>
      </c>
      <c r="H414" t="s">
        <v>1423</v>
      </c>
      <c r="I414" t="s">
        <v>75</v>
      </c>
      <c r="J414" t="s">
        <v>75</v>
      </c>
      <c r="K414">
        <v>104187</v>
      </c>
      <c r="L414" t="s">
        <v>942</v>
      </c>
      <c r="M414" t="s">
        <v>968</v>
      </c>
      <c r="O414">
        <v>104187</v>
      </c>
    </row>
    <row r="415" spans="1:15">
      <c r="A415" t="s">
        <v>1892</v>
      </c>
      <c r="B415" s="26">
        <v>42345</v>
      </c>
      <c r="C415" s="26">
        <v>42345</v>
      </c>
      <c r="D415" t="s">
        <v>939</v>
      </c>
      <c r="E415" s="26">
        <v>42346</v>
      </c>
      <c r="G415">
        <v>2015</v>
      </c>
      <c r="H415" t="s">
        <v>1893</v>
      </c>
      <c r="I415" t="s">
        <v>75</v>
      </c>
      <c r="J415" t="s">
        <v>75</v>
      </c>
      <c r="K415" t="s">
        <v>994</v>
      </c>
      <c r="L415" t="s">
        <v>942</v>
      </c>
      <c r="M415" t="s">
        <v>943</v>
      </c>
      <c r="N415" t="s">
        <v>944</v>
      </c>
      <c r="O415" t="s">
        <v>994</v>
      </c>
    </row>
    <row r="416" spans="1:15">
      <c r="A416" t="s">
        <v>1894</v>
      </c>
      <c r="B416" s="26">
        <v>42465</v>
      </c>
      <c r="C416" s="26">
        <v>42465</v>
      </c>
      <c r="D416" t="s">
        <v>939</v>
      </c>
      <c r="E416" s="26">
        <v>42466</v>
      </c>
      <c r="G416">
        <v>2016</v>
      </c>
      <c r="H416" t="s">
        <v>1466</v>
      </c>
      <c r="I416" t="s">
        <v>75</v>
      </c>
      <c r="J416" t="s">
        <v>75</v>
      </c>
      <c r="K416" t="s">
        <v>1467</v>
      </c>
      <c r="L416" t="s">
        <v>942</v>
      </c>
      <c r="M416" t="s">
        <v>1036</v>
      </c>
      <c r="N416" t="s">
        <v>963</v>
      </c>
      <c r="O416" t="s">
        <v>1467</v>
      </c>
    </row>
    <row r="417" spans="1:15">
      <c r="A417" t="s">
        <v>1895</v>
      </c>
      <c r="B417" s="26">
        <v>42334</v>
      </c>
      <c r="C417" s="26">
        <v>42334</v>
      </c>
      <c r="D417" t="s">
        <v>939</v>
      </c>
      <c r="E417" s="26">
        <v>42334</v>
      </c>
      <c r="G417">
        <v>2015</v>
      </c>
      <c r="H417" t="s">
        <v>1896</v>
      </c>
      <c r="I417" t="s">
        <v>75</v>
      </c>
      <c r="J417" t="s">
        <v>75</v>
      </c>
      <c r="K417" t="s">
        <v>953</v>
      </c>
      <c r="L417" t="s">
        <v>1897</v>
      </c>
      <c r="M417" t="s">
        <v>1898</v>
      </c>
      <c r="N417" t="s">
        <v>963</v>
      </c>
    </row>
    <row r="418" spans="1:15">
      <c r="A418" t="s">
        <v>1899</v>
      </c>
      <c r="B418" s="26">
        <v>42345</v>
      </c>
      <c r="C418" s="26">
        <v>42345</v>
      </c>
      <c r="D418" t="s">
        <v>939</v>
      </c>
      <c r="E418" s="26">
        <v>42346</v>
      </c>
      <c r="G418">
        <v>2015</v>
      </c>
      <c r="H418" t="s">
        <v>1900</v>
      </c>
      <c r="I418" t="s">
        <v>75</v>
      </c>
      <c r="J418" t="s">
        <v>75</v>
      </c>
      <c r="K418" t="s">
        <v>953</v>
      </c>
      <c r="L418" t="s">
        <v>942</v>
      </c>
      <c r="M418" t="s">
        <v>943</v>
      </c>
      <c r="N418" t="s">
        <v>944</v>
      </c>
    </row>
    <row r="419" spans="1:15">
      <c r="A419" t="s">
        <v>1901</v>
      </c>
      <c r="B419" s="26">
        <v>42550</v>
      </c>
      <c r="C419" s="26">
        <v>42550</v>
      </c>
      <c r="D419" t="s">
        <v>939</v>
      </c>
      <c r="E419" s="26">
        <v>42550</v>
      </c>
      <c r="G419">
        <v>2016</v>
      </c>
      <c r="H419" t="s">
        <v>1902</v>
      </c>
      <c r="I419" t="s">
        <v>75</v>
      </c>
      <c r="J419" t="s">
        <v>75</v>
      </c>
      <c r="K419" t="s">
        <v>953</v>
      </c>
      <c r="L419" t="s">
        <v>942</v>
      </c>
      <c r="M419" t="s">
        <v>943</v>
      </c>
      <c r="N419" t="s">
        <v>944</v>
      </c>
    </row>
    <row r="420" spans="1:15">
      <c r="A420" t="s">
        <v>1903</v>
      </c>
      <c r="B420" s="26">
        <v>43654</v>
      </c>
      <c r="C420" s="26">
        <v>43654</v>
      </c>
      <c r="D420" t="s">
        <v>939</v>
      </c>
      <c r="E420" s="26">
        <v>43654</v>
      </c>
      <c r="G420">
        <v>2019</v>
      </c>
      <c r="H420" t="s">
        <v>1904</v>
      </c>
      <c r="I420" t="s">
        <v>75</v>
      </c>
      <c r="J420" t="s">
        <v>75</v>
      </c>
      <c r="K420" t="s">
        <v>1905</v>
      </c>
      <c r="L420" t="s">
        <v>1906</v>
      </c>
      <c r="M420" t="s">
        <v>968</v>
      </c>
      <c r="O420" t="s">
        <v>1905</v>
      </c>
    </row>
    <row r="421" spans="1:15">
      <c r="A421" t="s">
        <v>1907</v>
      </c>
      <c r="B421" s="26">
        <v>43369</v>
      </c>
      <c r="C421" s="26">
        <v>43369</v>
      </c>
      <c r="D421" t="s">
        <v>939</v>
      </c>
      <c r="E421" s="26">
        <v>43369</v>
      </c>
      <c r="G421">
        <v>2018</v>
      </c>
      <c r="H421" t="s">
        <v>1908</v>
      </c>
      <c r="I421" t="s">
        <v>75</v>
      </c>
      <c r="J421" t="s">
        <v>75</v>
      </c>
      <c r="K421" t="s">
        <v>1909</v>
      </c>
      <c r="L421" t="s">
        <v>967</v>
      </c>
      <c r="M421" t="s">
        <v>968</v>
      </c>
      <c r="O421" t="s">
        <v>1909</v>
      </c>
    </row>
    <row r="422" spans="1:15">
      <c r="A422" t="s">
        <v>1910</v>
      </c>
      <c r="B422" s="26">
        <v>42549</v>
      </c>
      <c r="C422" s="26">
        <v>42549</v>
      </c>
      <c r="D422" t="s">
        <v>939</v>
      </c>
      <c r="E422" s="26">
        <v>42550</v>
      </c>
      <c r="G422">
        <v>2016</v>
      </c>
      <c r="H422" t="s">
        <v>1511</v>
      </c>
      <c r="I422" t="s">
        <v>75</v>
      </c>
      <c r="J422" t="s">
        <v>75</v>
      </c>
      <c r="K422" t="s">
        <v>1512</v>
      </c>
      <c r="L422" t="s">
        <v>942</v>
      </c>
      <c r="M422" t="s">
        <v>943</v>
      </c>
      <c r="N422" t="s">
        <v>944</v>
      </c>
      <c r="O422" t="s">
        <v>1512</v>
      </c>
    </row>
    <row r="423" spans="1:15">
      <c r="A423" t="s">
        <v>1911</v>
      </c>
      <c r="B423" s="26">
        <v>42549</v>
      </c>
      <c r="C423" s="26">
        <v>42549</v>
      </c>
      <c r="D423" t="s">
        <v>939</v>
      </c>
      <c r="E423" s="26">
        <v>42550</v>
      </c>
      <c r="G423">
        <v>2016</v>
      </c>
      <c r="H423" t="s">
        <v>1007</v>
      </c>
      <c r="I423" t="s">
        <v>75</v>
      </c>
      <c r="J423" t="s">
        <v>75</v>
      </c>
      <c r="K423" t="s">
        <v>1008</v>
      </c>
      <c r="L423" t="s">
        <v>942</v>
      </c>
      <c r="M423" t="s">
        <v>943</v>
      </c>
      <c r="N423" t="s">
        <v>944</v>
      </c>
      <c r="O423" t="s">
        <v>1008</v>
      </c>
    </row>
    <row r="424" spans="1:15">
      <c r="A424" t="s">
        <v>1912</v>
      </c>
      <c r="B424" s="26">
        <v>42550</v>
      </c>
      <c r="C424" s="26">
        <v>42550</v>
      </c>
      <c r="D424" t="s">
        <v>939</v>
      </c>
      <c r="E424" s="26">
        <v>42550</v>
      </c>
      <c r="G424">
        <v>2016</v>
      </c>
      <c r="H424" t="s">
        <v>1056</v>
      </c>
      <c r="I424" t="s">
        <v>75</v>
      </c>
      <c r="J424" t="s">
        <v>75</v>
      </c>
      <c r="K424" t="s">
        <v>953</v>
      </c>
      <c r="L424" t="s">
        <v>942</v>
      </c>
      <c r="M424" t="s">
        <v>943</v>
      </c>
      <c r="N424" t="s">
        <v>944</v>
      </c>
    </row>
    <row r="425" spans="1:15">
      <c r="A425" t="s">
        <v>1913</v>
      </c>
      <c r="B425" s="26">
        <v>41787</v>
      </c>
      <c r="C425" s="26">
        <v>41787</v>
      </c>
      <c r="D425" t="s">
        <v>939</v>
      </c>
      <c r="E425" s="26">
        <v>41788</v>
      </c>
      <c r="G425">
        <v>2014</v>
      </c>
      <c r="H425" t="s">
        <v>1914</v>
      </c>
      <c r="I425" t="s">
        <v>75</v>
      </c>
      <c r="J425" t="s">
        <v>75</v>
      </c>
      <c r="K425" t="s">
        <v>1915</v>
      </c>
      <c r="L425" t="s">
        <v>942</v>
      </c>
      <c r="M425" t="s">
        <v>943</v>
      </c>
      <c r="N425" t="s">
        <v>944</v>
      </c>
      <c r="O425" t="s">
        <v>1915</v>
      </c>
    </row>
    <row r="426" spans="1:15">
      <c r="A426" t="s">
        <v>1916</v>
      </c>
      <c r="B426" s="26">
        <v>42550</v>
      </c>
      <c r="C426" s="26">
        <v>42550</v>
      </c>
      <c r="D426" t="s">
        <v>939</v>
      </c>
      <c r="E426" s="26">
        <v>42550</v>
      </c>
      <c r="G426">
        <v>2016</v>
      </c>
      <c r="H426" t="s">
        <v>1917</v>
      </c>
      <c r="I426" t="s">
        <v>75</v>
      </c>
      <c r="J426" t="s">
        <v>75</v>
      </c>
      <c r="K426" t="s">
        <v>953</v>
      </c>
      <c r="L426" t="s">
        <v>942</v>
      </c>
      <c r="M426" t="s">
        <v>943</v>
      </c>
      <c r="N426" t="s">
        <v>944</v>
      </c>
    </row>
    <row r="427" spans="1:15">
      <c r="A427" t="s">
        <v>1918</v>
      </c>
      <c r="B427" s="26">
        <v>42550</v>
      </c>
      <c r="C427" s="26">
        <v>42550</v>
      </c>
      <c r="D427" t="s">
        <v>939</v>
      </c>
      <c r="E427" s="26">
        <v>42550</v>
      </c>
      <c r="G427">
        <v>2016</v>
      </c>
      <c r="H427" t="s">
        <v>1636</v>
      </c>
      <c r="I427" t="s">
        <v>75</v>
      </c>
      <c r="J427" t="s">
        <v>75</v>
      </c>
      <c r="K427" t="s">
        <v>953</v>
      </c>
      <c r="L427" t="s">
        <v>942</v>
      </c>
      <c r="M427" t="s">
        <v>943</v>
      </c>
      <c r="N427" t="s">
        <v>944</v>
      </c>
    </row>
    <row r="428" spans="1:15">
      <c r="A428" t="s">
        <v>1919</v>
      </c>
      <c r="B428" s="26">
        <v>42549</v>
      </c>
      <c r="C428" s="26">
        <v>42549</v>
      </c>
      <c r="D428" t="s">
        <v>939</v>
      </c>
      <c r="E428" s="26">
        <v>42550</v>
      </c>
      <c r="G428">
        <v>2016</v>
      </c>
      <c r="H428" t="s">
        <v>987</v>
      </c>
      <c r="I428" t="s">
        <v>75</v>
      </c>
      <c r="J428" t="s">
        <v>75</v>
      </c>
      <c r="K428" t="s">
        <v>988</v>
      </c>
      <c r="L428" t="s">
        <v>942</v>
      </c>
      <c r="M428" t="s">
        <v>943</v>
      </c>
      <c r="N428" t="s">
        <v>944</v>
      </c>
      <c r="O428" t="s">
        <v>988</v>
      </c>
    </row>
    <row r="429" spans="1:15">
      <c r="A429" t="s">
        <v>1920</v>
      </c>
      <c r="B429" s="26">
        <v>41586</v>
      </c>
      <c r="C429" s="26">
        <v>41586</v>
      </c>
      <c r="D429" t="s">
        <v>939</v>
      </c>
      <c r="E429" s="26">
        <v>41586</v>
      </c>
      <c r="G429">
        <v>2013</v>
      </c>
      <c r="H429" t="s">
        <v>950</v>
      </c>
      <c r="I429" t="s">
        <v>75</v>
      </c>
      <c r="J429" t="s">
        <v>75</v>
      </c>
      <c r="K429">
        <v>800</v>
      </c>
      <c r="L429" t="s">
        <v>948</v>
      </c>
      <c r="M429" t="s">
        <v>943</v>
      </c>
      <c r="N429" t="s">
        <v>944</v>
      </c>
      <c r="O429">
        <v>800</v>
      </c>
    </row>
    <row r="430" spans="1:15">
      <c r="A430" t="s">
        <v>1921</v>
      </c>
      <c r="B430" s="26">
        <v>42550</v>
      </c>
      <c r="C430" s="26">
        <v>42550</v>
      </c>
      <c r="D430" t="s">
        <v>939</v>
      </c>
      <c r="E430" s="26">
        <v>42550</v>
      </c>
      <c r="G430">
        <v>2016</v>
      </c>
      <c r="H430" t="s">
        <v>1548</v>
      </c>
      <c r="I430" t="s">
        <v>75</v>
      </c>
      <c r="J430" t="s">
        <v>75</v>
      </c>
      <c r="K430" t="s">
        <v>953</v>
      </c>
      <c r="L430" t="s">
        <v>942</v>
      </c>
      <c r="M430" t="s">
        <v>943</v>
      </c>
      <c r="N430" t="s">
        <v>944</v>
      </c>
    </row>
    <row r="431" spans="1:15">
      <c r="A431" t="s">
        <v>1922</v>
      </c>
      <c r="B431" s="26">
        <v>42453</v>
      </c>
      <c r="C431" s="26">
        <v>42453</v>
      </c>
      <c r="D431" t="s">
        <v>939</v>
      </c>
      <c r="E431" s="26">
        <v>42453</v>
      </c>
      <c r="G431">
        <v>2016</v>
      </c>
      <c r="H431" t="s">
        <v>1563</v>
      </c>
      <c r="I431" t="s">
        <v>75</v>
      </c>
      <c r="J431" t="s">
        <v>75</v>
      </c>
      <c r="K431" t="s">
        <v>1061</v>
      </c>
      <c r="L431" t="s">
        <v>942</v>
      </c>
      <c r="M431" t="s">
        <v>968</v>
      </c>
      <c r="O431" t="s">
        <v>1061</v>
      </c>
    </row>
    <row r="432" spans="1:15">
      <c r="A432" t="s">
        <v>1923</v>
      </c>
      <c r="B432" s="26">
        <v>41159</v>
      </c>
      <c r="C432" s="26">
        <v>41159</v>
      </c>
      <c r="D432" t="s">
        <v>939</v>
      </c>
      <c r="E432" s="26">
        <v>41162</v>
      </c>
      <c r="G432">
        <v>2012</v>
      </c>
      <c r="H432" t="s">
        <v>1924</v>
      </c>
      <c r="I432" t="s">
        <v>75</v>
      </c>
      <c r="J432" t="s">
        <v>75</v>
      </c>
      <c r="K432" t="s">
        <v>953</v>
      </c>
      <c r="L432" t="s">
        <v>948</v>
      </c>
      <c r="M432" t="s">
        <v>1036</v>
      </c>
      <c r="N432" t="s">
        <v>963</v>
      </c>
    </row>
    <row r="433" spans="1:15">
      <c r="A433" t="s">
        <v>1925</v>
      </c>
      <c r="B433" s="26">
        <v>42549</v>
      </c>
      <c r="C433" s="26">
        <v>42549</v>
      </c>
      <c r="D433" t="s">
        <v>939</v>
      </c>
      <c r="E433" s="26">
        <v>42550</v>
      </c>
      <c r="G433">
        <v>2016</v>
      </c>
      <c r="H433" t="s">
        <v>1875</v>
      </c>
      <c r="I433" t="s">
        <v>75</v>
      </c>
      <c r="J433" t="s">
        <v>75</v>
      </c>
      <c r="K433" t="s">
        <v>1926</v>
      </c>
      <c r="L433" t="s">
        <v>942</v>
      </c>
      <c r="M433" t="s">
        <v>943</v>
      </c>
      <c r="N433" t="s">
        <v>944</v>
      </c>
      <c r="O433" t="s">
        <v>1926</v>
      </c>
    </row>
    <row r="434" spans="1:15">
      <c r="A434" t="s">
        <v>1927</v>
      </c>
      <c r="B434" s="26">
        <v>43495</v>
      </c>
      <c r="C434" s="26">
        <v>43495</v>
      </c>
      <c r="D434" t="s">
        <v>939</v>
      </c>
      <c r="E434" s="26">
        <v>43495</v>
      </c>
      <c r="G434">
        <v>2019</v>
      </c>
      <c r="H434" t="s">
        <v>1928</v>
      </c>
      <c r="I434" t="s">
        <v>75</v>
      </c>
      <c r="J434" t="s">
        <v>75</v>
      </c>
      <c r="K434" t="s">
        <v>1929</v>
      </c>
      <c r="L434" t="s">
        <v>967</v>
      </c>
      <c r="M434" t="s">
        <v>968</v>
      </c>
      <c r="O434" t="s">
        <v>1929</v>
      </c>
    </row>
    <row r="435" spans="1:15">
      <c r="A435" t="s">
        <v>1930</v>
      </c>
      <c r="B435" s="26">
        <v>42550</v>
      </c>
      <c r="C435" s="26">
        <v>42550</v>
      </c>
      <c r="D435" t="s">
        <v>939</v>
      </c>
      <c r="E435" s="26">
        <v>42550</v>
      </c>
      <c r="G435">
        <v>2016</v>
      </c>
      <c r="H435" t="s">
        <v>1523</v>
      </c>
      <c r="I435" t="s">
        <v>75</v>
      </c>
      <c r="J435" t="s">
        <v>75</v>
      </c>
      <c r="K435" t="s">
        <v>1524</v>
      </c>
      <c r="L435" t="s">
        <v>942</v>
      </c>
      <c r="M435" t="s">
        <v>943</v>
      </c>
      <c r="N435" t="s">
        <v>944</v>
      </c>
      <c r="O435" t="s">
        <v>1524</v>
      </c>
    </row>
    <row r="436" spans="1:15">
      <c r="A436" t="s">
        <v>1931</v>
      </c>
      <c r="B436" s="26">
        <v>42345</v>
      </c>
      <c r="C436" s="26">
        <v>42345</v>
      </c>
      <c r="D436" t="s">
        <v>939</v>
      </c>
      <c r="E436" s="26">
        <v>42346</v>
      </c>
      <c r="G436">
        <v>2015</v>
      </c>
      <c r="H436" t="s">
        <v>1569</v>
      </c>
      <c r="I436" t="s">
        <v>75</v>
      </c>
      <c r="J436" t="s">
        <v>75</v>
      </c>
      <c r="K436" t="s">
        <v>953</v>
      </c>
      <c r="L436" t="s">
        <v>942</v>
      </c>
      <c r="M436" t="s">
        <v>943</v>
      </c>
      <c r="N436" t="s">
        <v>944</v>
      </c>
    </row>
    <row r="437" spans="1:15">
      <c r="A437" t="s">
        <v>1932</v>
      </c>
      <c r="B437" s="26">
        <v>42549</v>
      </c>
      <c r="C437" s="26">
        <v>42549</v>
      </c>
      <c r="D437" t="s">
        <v>939</v>
      </c>
      <c r="E437" s="26">
        <v>42550</v>
      </c>
      <c r="G437">
        <v>2016</v>
      </c>
      <c r="H437" t="s">
        <v>1519</v>
      </c>
      <c r="I437" t="s">
        <v>75</v>
      </c>
      <c r="J437" t="s">
        <v>75</v>
      </c>
      <c r="K437" t="s">
        <v>1630</v>
      </c>
      <c r="L437" t="s">
        <v>942</v>
      </c>
      <c r="M437" t="s">
        <v>943</v>
      </c>
      <c r="N437" t="s">
        <v>944</v>
      </c>
      <c r="O437" t="s">
        <v>1630</v>
      </c>
    </row>
    <row r="438" spans="1:15">
      <c r="A438" t="s">
        <v>1933</v>
      </c>
      <c r="B438" s="26">
        <v>43808</v>
      </c>
      <c r="C438" s="26">
        <v>43808</v>
      </c>
      <c r="D438" t="s">
        <v>939</v>
      </c>
      <c r="E438" s="26">
        <v>43810</v>
      </c>
      <c r="G438">
        <v>2019</v>
      </c>
      <c r="H438" t="s">
        <v>1120</v>
      </c>
      <c r="I438" t="s">
        <v>75</v>
      </c>
      <c r="J438" t="s">
        <v>75</v>
      </c>
      <c r="K438">
        <v>-52015</v>
      </c>
      <c r="L438" t="s">
        <v>961</v>
      </c>
      <c r="M438" t="s">
        <v>1122</v>
      </c>
      <c r="N438" t="s">
        <v>963</v>
      </c>
      <c r="O438" t="s">
        <v>1934</v>
      </c>
    </row>
    <row r="439" spans="1:15">
      <c r="A439" t="s">
        <v>1935</v>
      </c>
      <c r="B439" s="26">
        <v>43524</v>
      </c>
      <c r="C439" s="26">
        <v>43524</v>
      </c>
      <c r="D439" t="s">
        <v>939</v>
      </c>
      <c r="E439" s="26">
        <v>43524</v>
      </c>
      <c r="G439">
        <v>2019</v>
      </c>
      <c r="H439" t="s">
        <v>1936</v>
      </c>
      <c r="I439" t="s">
        <v>75</v>
      </c>
      <c r="J439" t="s">
        <v>75</v>
      </c>
      <c r="K439" t="s">
        <v>1937</v>
      </c>
      <c r="L439" t="s">
        <v>967</v>
      </c>
      <c r="M439" t="s">
        <v>968</v>
      </c>
      <c r="O439" t="s">
        <v>1937</v>
      </c>
    </row>
    <row r="440" spans="1:15">
      <c r="A440" t="s">
        <v>1938</v>
      </c>
      <c r="B440" s="26">
        <v>42230</v>
      </c>
      <c r="C440" s="26">
        <v>42230</v>
      </c>
      <c r="D440" t="s">
        <v>939</v>
      </c>
      <c r="E440" s="26">
        <v>42230</v>
      </c>
      <c r="G440">
        <v>2015</v>
      </c>
      <c r="H440" t="s">
        <v>1939</v>
      </c>
      <c r="I440" t="s">
        <v>75</v>
      </c>
      <c r="J440" t="s">
        <v>75</v>
      </c>
      <c r="K440" t="s">
        <v>1940</v>
      </c>
      <c r="L440" t="s">
        <v>942</v>
      </c>
      <c r="M440" t="s">
        <v>968</v>
      </c>
      <c r="O440" t="s">
        <v>1940</v>
      </c>
    </row>
    <row r="441" spans="1:15">
      <c r="A441" t="s">
        <v>1941</v>
      </c>
      <c r="B441" s="26">
        <v>43620</v>
      </c>
      <c r="C441" s="26">
        <v>43620</v>
      </c>
      <c r="D441" t="s">
        <v>939</v>
      </c>
      <c r="E441" s="26">
        <v>43620</v>
      </c>
      <c r="G441">
        <v>2019</v>
      </c>
      <c r="H441" t="s">
        <v>1942</v>
      </c>
      <c r="I441" t="s">
        <v>75</v>
      </c>
      <c r="J441" t="s">
        <v>75</v>
      </c>
      <c r="K441">
        <v>287538</v>
      </c>
      <c r="L441" t="s">
        <v>1943</v>
      </c>
      <c r="M441" t="s">
        <v>943</v>
      </c>
      <c r="N441" t="s">
        <v>944</v>
      </c>
      <c r="O441">
        <v>287538</v>
      </c>
    </row>
    <row r="442" spans="1:15">
      <c r="A442" t="s">
        <v>1944</v>
      </c>
      <c r="B442" s="26">
        <v>42550</v>
      </c>
      <c r="C442" s="26">
        <v>42550</v>
      </c>
      <c r="D442" t="s">
        <v>939</v>
      </c>
      <c r="E442" s="26">
        <v>42550</v>
      </c>
      <c r="G442">
        <v>2016</v>
      </c>
      <c r="H442" t="s">
        <v>1945</v>
      </c>
      <c r="I442" t="s">
        <v>75</v>
      </c>
      <c r="J442" t="s">
        <v>75</v>
      </c>
      <c r="K442" t="s">
        <v>953</v>
      </c>
      <c r="L442" t="s">
        <v>942</v>
      </c>
      <c r="M442" t="s">
        <v>943</v>
      </c>
      <c r="N442" t="s">
        <v>944</v>
      </c>
    </row>
    <row r="443" spans="1:15">
      <c r="A443" t="s">
        <v>1946</v>
      </c>
      <c r="B443" s="26">
        <v>42549</v>
      </c>
      <c r="C443" s="26">
        <v>42549</v>
      </c>
      <c r="D443" t="s">
        <v>939</v>
      </c>
      <c r="E443" s="26">
        <v>42550</v>
      </c>
      <c r="G443">
        <v>2016</v>
      </c>
      <c r="H443" t="s">
        <v>1947</v>
      </c>
      <c r="I443" t="s">
        <v>75</v>
      </c>
      <c r="J443" t="s">
        <v>75</v>
      </c>
      <c r="K443" t="s">
        <v>1948</v>
      </c>
      <c r="L443" t="s">
        <v>942</v>
      </c>
      <c r="M443" t="s">
        <v>943</v>
      </c>
      <c r="N443" t="s">
        <v>944</v>
      </c>
      <c r="O443" t="s">
        <v>1948</v>
      </c>
    </row>
    <row r="444" spans="1:15">
      <c r="A444" t="s">
        <v>1949</v>
      </c>
      <c r="B444" s="26">
        <v>43447</v>
      </c>
      <c r="C444" s="26">
        <v>43447</v>
      </c>
      <c r="D444" t="s">
        <v>939</v>
      </c>
      <c r="E444" s="26">
        <v>43447</v>
      </c>
      <c r="G444">
        <v>2018</v>
      </c>
      <c r="H444" t="s">
        <v>1950</v>
      </c>
      <c r="I444" t="s">
        <v>75</v>
      </c>
      <c r="J444" t="s">
        <v>75</v>
      </c>
      <c r="K444">
        <v>585881</v>
      </c>
      <c r="L444" t="s">
        <v>948</v>
      </c>
      <c r="M444" t="s">
        <v>943</v>
      </c>
      <c r="N444" t="s">
        <v>944</v>
      </c>
      <c r="O444">
        <v>585881</v>
      </c>
    </row>
    <row r="445" spans="1:15">
      <c r="A445" t="s">
        <v>1951</v>
      </c>
      <c r="B445" s="26">
        <v>42934</v>
      </c>
      <c r="C445" s="26">
        <v>42934</v>
      </c>
      <c r="D445" t="s">
        <v>939</v>
      </c>
      <c r="E445" s="26">
        <v>42934</v>
      </c>
      <c r="G445">
        <v>2017</v>
      </c>
      <c r="H445" t="s">
        <v>1952</v>
      </c>
      <c r="I445" t="s">
        <v>75</v>
      </c>
      <c r="J445" t="s">
        <v>75</v>
      </c>
      <c r="K445" t="s">
        <v>1953</v>
      </c>
      <c r="L445" t="s">
        <v>942</v>
      </c>
      <c r="M445" t="s">
        <v>968</v>
      </c>
      <c r="O445" t="s">
        <v>1953</v>
      </c>
    </row>
    <row r="446" spans="1:15">
      <c r="A446" t="s">
        <v>1954</v>
      </c>
      <c r="B446" s="26">
        <v>41788</v>
      </c>
      <c r="C446" s="26">
        <v>41788</v>
      </c>
      <c r="D446" t="s">
        <v>939</v>
      </c>
      <c r="E446" s="26">
        <v>41788</v>
      </c>
      <c r="G446">
        <v>2014</v>
      </c>
      <c r="H446" t="s">
        <v>1955</v>
      </c>
      <c r="I446" t="s">
        <v>75</v>
      </c>
      <c r="J446" t="s">
        <v>75</v>
      </c>
      <c r="K446" t="s">
        <v>1956</v>
      </c>
      <c r="L446" t="s">
        <v>942</v>
      </c>
      <c r="M446" t="s">
        <v>943</v>
      </c>
      <c r="N446" t="s">
        <v>944</v>
      </c>
      <c r="O446" t="s">
        <v>1956</v>
      </c>
    </row>
    <row r="447" spans="1:15">
      <c r="A447" t="s">
        <v>1957</v>
      </c>
      <c r="B447" s="26">
        <v>42549</v>
      </c>
      <c r="C447" s="26">
        <v>42549</v>
      </c>
      <c r="D447" t="s">
        <v>939</v>
      </c>
      <c r="E447" s="26">
        <v>42550</v>
      </c>
      <c r="G447">
        <v>2016</v>
      </c>
      <c r="H447" t="s">
        <v>1532</v>
      </c>
      <c r="I447" t="s">
        <v>75</v>
      </c>
      <c r="J447" t="s">
        <v>75</v>
      </c>
      <c r="K447" t="s">
        <v>953</v>
      </c>
      <c r="L447" t="s">
        <v>942</v>
      </c>
      <c r="M447" t="s">
        <v>943</v>
      </c>
      <c r="N447" t="s">
        <v>944</v>
      </c>
    </row>
    <row r="448" spans="1:15">
      <c r="A448" t="s">
        <v>1958</v>
      </c>
      <c r="B448" s="26">
        <v>42549</v>
      </c>
      <c r="C448" s="26">
        <v>42549</v>
      </c>
      <c r="D448" t="s">
        <v>939</v>
      </c>
      <c r="E448" s="26">
        <v>42550</v>
      </c>
      <c r="G448">
        <v>2016</v>
      </c>
      <c r="H448" t="s">
        <v>1139</v>
      </c>
      <c r="I448" t="s">
        <v>75</v>
      </c>
      <c r="J448" t="s">
        <v>75</v>
      </c>
      <c r="K448" t="s">
        <v>1140</v>
      </c>
      <c r="L448" t="s">
        <v>942</v>
      </c>
      <c r="M448" t="s">
        <v>943</v>
      </c>
      <c r="N448" t="s">
        <v>944</v>
      </c>
      <c r="O448" t="s">
        <v>1140</v>
      </c>
    </row>
    <row r="449" spans="1:15">
      <c r="A449" t="s">
        <v>1959</v>
      </c>
      <c r="B449" s="26">
        <v>41586</v>
      </c>
      <c r="C449" s="26">
        <v>41586</v>
      </c>
      <c r="D449" t="s">
        <v>939</v>
      </c>
      <c r="E449" s="26">
        <v>41586</v>
      </c>
      <c r="G449">
        <v>2013</v>
      </c>
      <c r="H449" t="s">
        <v>1960</v>
      </c>
      <c r="I449" t="s">
        <v>75</v>
      </c>
      <c r="J449" t="s">
        <v>75</v>
      </c>
      <c r="K449" t="s">
        <v>953</v>
      </c>
      <c r="L449" t="s">
        <v>948</v>
      </c>
      <c r="M449" t="s">
        <v>943</v>
      </c>
      <c r="N449" t="s">
        <v>944</v>
      </c>
    </row>
    <row r="450" spans="1:15">
      <c r="A450" t="s">
        <v>1961</v>
      </c>
      <c r="B450" s="26">
        <v>41788</v>
      </c>
      <c r="C450" s="26">
        <v>41788</v>
      </c>
      <c r="D450" t="s">
        <v>939</v>
      </c>
      <c r="E450" s="26">
        <v>41788</v>
      </c>
      <c r="G450">
        <v>2014</v>
      </c>
      <c r="H450" t="s">
        <v>1962</v>
      </c>
      <c r="I450" t="s">
        <v>75</v>
      </c>
      <c r="J450" t="s">
        <v>75</v>
      </c>
      <c r="K450" t="s">
        <v>953</v>
      </c>
      <c r="L450" t="s">
        <v>942</v>
      </c>
      <c r="M450" t="s">
        <v>943</v>
      </c>
      <c r="N450" t="s">
        <v>944</v>
      </c>
    </row>
    <row r="451" spans="1:15">
      <c r="A451" t="s">
        <v>1963</v>
      </c>
      <c r="B451" s="26">
        <v>43144</v>
      </c>
      <c r="C451" s="26">
        <v>43144</v>
      </c>
      <c r="D451" t="s">
        <v>939</v>
      </c>
      <c r="E451" s="26">
        <v>43144</v>
      </c>
      <c r="G451">
        <v>2018</v>
      </c>
      <c r="H451" t="s">
        <v>1964</v>
      </c>
      <c r="I451" t="s">
        <v>75</v>
      </c>
      <c r="J451" t="s">
        <v>75</v>
      </c>
      <c r="K451" t="s">
        <v>953</v>
      </c>
      <c r="L451" t="s">
        <v>942</v>
      </c>
      <c r="M451" t="s">
        <v>943</v>
      </c>
      <c r="N451" t="s">
        <v>944</v>
      </c>
    </row>
    <row r="452" spans="1:15">
      <c r="A452" t="s">
        <v>1965</v>
      </c>
      <c r="B452" s="26">
        <v>42550</v>
      </c>
      <c r="C452" s="26">
        <v>42550</v>
      </c>
      <c r="D452" t="s">
        <v>939</v>
      </c>
      <c r="E452" s="26">
        <v>42550</v>
      </c>
      <c r="G452">
        <v>2016</v>
      </c>
      <c r="H452" t="s">
        <v>1090</v>
      </c>
      <c r="I452" t="s">
        <v>75</v>
      </c>
      <c r="J452" t="s">
        <v>75</v>
      </c>
      <c r="K452" t="s">
        <v>953</v>
      </c>
      <c r="L452" t="s">
        <v>942</v>
      </c>
      <c r="M452" t="s">
        <v>943</v>
      </c>
      <c r="N452" t="s">
        <v>944</v>
      </c>
    </row>
    <row r="453" spans="1:15">
      <c r="A453" t="s">
        <v>1966</v>
      </c>
      <c r="B453" s="26">
        <v>43447</v>
      </c>
      <c r="C453" s="26">
        <v>43447</v>
      </c>
      <c r="D453" t="s">
        <v>939</v>
      </c>
      <c r="E453" s="26">
        <v>43447</v>
      </c>
      <c r="G453">
        <v>2018</v>
      </c>
      <c r="H453" t="s">
        <v>1967</v>
      </c>
      <c r="I453" t="s">
        <v>75</v>
      </c>
      <c r="J453" t="s">
        <v>75</v>
      </c>
      <c r="K453" t="s">
        <v>1968</v>
      </c>
      <c r="L453" t="s">
        <v>948</v>
      </c>
      <c r="M453" t="s">
        <v>943</v>
      </c>
      <c r="N453" t="s">
        <v>944</v>
      </c>
      <c r="O453" t="s">
        <v>1968</v>
      </c>
    </row>
    <row r="454" spans="1:15">
      <c r="A454" t="s">
        <v>1969</v>
      </c>
      <c r="B454" s="26">
        <v>42549</v>
      </c>
      <c r="C454" s="26">
        <v>42549</v>
      </c>
      <c r="D454" t="s">
        <v>939</v>
      </c>
      <c r="E454" s="26">
        <v>42550</v>
      </c>
      <c r="G454">
        <v>2016</v>
      </c>
      <c r="H454" t="s">
        <v>1970</v>
      </c>
      <c r="I454" t="s">
        <v>75</v>
      </c>
      <c r="J454" t="s">
        <v>75</v>
      </c>
      <c r="K454" t="s">
        <v>953</v>
      </c>
      <c r="L454" t="s">
        <v>942</v>
      </c>
      <c r="M454" t="s">
        <v>943</v>
      </c>
      <c r="N454" t="s">
        <v>944</v>
      </c>
    </row>
    <row r="455" spans="1:15">
      <c r="A455" t="s">
        <v>1971</v>
      </c>
      <c r="B455" s="26">
        <v>42143</v>
      </c>
      <c r="C455" s="26">
        <v>42143</v>
      </c>
      <c r="D455" t="s">
        <v>939</v>
      </c>
      <c r="E455" s="26">
        <v>42143</v>
      </c>
      <c r="G455">
        <v>2015</v>
      </c>
      <c r="H455" t="s">
        <v>1972</v>
      </c>
      <c r="I455" t="s">
        <v>75</v>
      </c>
      <c r="J455" t="s">
        <v>75</v>
      </c>
      <c r="K455" t="s">
        <v>953</v>
      </c>
      <c r="L455" t="s">
        <v>942</v>
      </c>
      <c r="M455" t="s">
        <v>968</v>
      </c>
    </row>
    <row r="456" spans="1:15">
      <c r="A456" t="s">
        <v>1973</v>
      </c>
      <c r="B456" s="26">
        <v>42550</v>
      </c>
      <c r="C456" s="26">
        <v>42550</v>
      </c>
      <c r="D456" t="s">
        <v>939</v>
      </c>
      <c r="E456" s="26">
        <v>42550</v>
      </c>
      <c r="G456">
        <v>2016</v>
      </c>
      <c r="H456" t="s">
        <v>1146</v>
      </c>
      <c r="I456" t="s">
        <v>75</v>
      </c>
      <c r="J456" t="s">
        <v>75</v>
      </c>
      <c r="K456" t="s">
        <v>953</v>
      </c>
      <c r="L456" t="s">
        <v>942</v>
      </c>
      <c r="M456" t="s">
        <v>943</v>
      </c>
      <c r="N456" t="s">
        <v>944</v>
      </c>
    </row>
    <row r="457" spans="1:15">
      <c r="A457" t="s">
        <v>1974</v>
      </c>
      <c r="B457" s="26">
        <v>42384</v>
      </c>
      <c r="C457" s="26">
        <v>42384</v>
      </c>
      <c r="D457" t="s">
        <v>939</v>
      </c>
      <c r="E457" s="26">
        <v>42384</v>
      </c>
      <c r="G457">
        <v>2016</v>
      </c>
      <c r="H457" t="s">
        <v>1130</v>
      </c>
      <c r="I457" t="s">
        <v>75</v>
      </c>
      <c r="J457" t="s">
        <v>75</v>
      </c>
      <c r="K457" t="s">
        <v>953</v>
      </c>
      <c r="L457" t="s">
        <v>942</v>
      </c>
      <c r="M457" t="s">
        <v>968</v>
      </c>
    </row>
    <row r="458" spans="1:15">
      <c r="A458" t="s">
        <v>1975</v>
      </c>
      <c r="B458" s="26">
        <v>42550</v>
      </c>
      <c r="C458" s="26">
        <v>42550</v>
      </c>
      <c r="D458" t="s">
        <v>939</v>
      </c>
      <c r="E458" s="26">
        <v>42550</v>
      </c>
      <c r="G458">
        <v>2016</v>
      </c>
      <c r="H458" t="s">
        <v>1976</v>
      </c>
      <c r="I458" t="s">
        <v>75</v>
      </c>
      <c r="J458" t="s">
        <v>75</v>
      </c>
      <c r="K458" t="s">
        <v>953</v>
      </c>
      <c r="L458" t="s">
        <v>942</v>
      </c>
      <c r="M458" t="s">
        <v>943</v>
      </c>
      <c r="N458" t="s">
        <v>944</v>
      </c>
    </row>
    <row r="459" spans="1:15">
      <c r="A459" t="s">
        <v>1977</v>
      </c>
      <c r="B459" s="26">
        <v>42550</v>
      </c>
      <c r="C459" s="26">
        <v>42550</v>
      </c>
      <c r="D459" t="s">
        <v>939</v>
      </c>
      <c r="E459" s="26">
        <v>42550</v>
      </c>
      <c r="G459">
        <v>2016</v>
      </c>
      <c r="H459" t="s">
        <v>1978</v>
      </c>
      <c r="I459" t="s">
        <v>75</v>
      </c>
      <c r="J459" t="s">
        <v>75</v>
      </c>
      <c r="K459" t="s">
        <v>953</v>
      </c>
      <c r="L459" t="s">
        <v>942</v>
      </c>
      <c r="M459" t="s">
        <v>943</v>
      </c>
      <c r="N459" t="s">
        <v>944</v>
      </c>
    </row>
    <row r="460" spans="1:15">
      <c r="A460" t="s">
        <v>1979</v>
      </c>
      <c r="B460" s="26">
        <v>42346</v>
      </c>
      <c r="C460" s="26">
        <v>42346</v>
      </c>
      <c r="D460" t="s">
        <v>939</v>
      </c>
      <c r="E460" s="26">
        <v>42346</v>
      </c>
      <c r="G460">
        <v>2015</v>
      </c>
      <c r="H460" t="s">
        <v>1980</v>
      </c>
      <c r="I460" t="s">
        <v>75</v>
      </c>
      <c r="J460" t="s">
        <v>75</v>
      </c>
      <c r="K460" t="s">
        <v>953</v>
      </c>
      <c r="L460" t="s">
        <v>942</v>
      </c>
      <c r="M460" t="s">
        <v>943</v>
      </c>
      <c r="N460" t="s">
        <v>944</v>
      </c>
    </row>
    <row r="461" spans="1:15">
      <c r="A461" t="s">
        <v>1981</v>
      </c>
      <c r="B461" s="26">
        <v>42346</v>
      </c>
      <c r="C461" s="26">
        <v>42346</v>
      </c>
      <c r="D461" t="s">
        <v>939</v>
      </c>
      <c r="E461" s="26">
        <v>42346</v>
      </c>
      <c r="G461">
        <v>2015</v>
      </c>
      <c r="H461" t="s">
        <v>1982</v>
      </c>
      <c r="I461" t="s">
        <v>75</v>
      </c>
      <c r="J461" t="s">
        <v>75</v>
      </c>
      <c r="K461" t="s">
        <v>953</v>
      </c>
      <c r="L461" t="s">
        <v>942</v>
      </c>
      <c r="M461" t="s">
        <v>943</v>
      </c>
      <c r="N461" t="s">
        <v>944</v>
      </c>
    </row>
    <row r="462" spans="1:15">
      <c r="A462" t="s">
        <v>1983</v>
      </c>
      <c r="B462" s="26">
        <v>42384</v>
      </c>
      <c r="C462" s="26">
        <v>42384</v>
      </c>
      <c r="D462" t="s">
        <v>939</v>
      </c>
      <c r="E462" s="26">
        <v>42384</v>
      </c>
      <c r="G462">
        <v>2016</v>
      </c>
      <c r="H462" t="s">
        <v>1984</v>
      </c>
      <c r="I462" t="s">
        <v>75</v>
      </c>
      <c r="J462" t="s">
        <v>75</v>
      </c>
      <c r="K462" t="s">
        <v>953</v>
      </c>
      <c r="L462" t="s">
        <v>942</v>
      </c>
      <c r="M462" t="s">
        <v>968</v>
      </c>
    </row>
    <row r="463" spans="1:15">
      <c r="A463" t="s">
        <v>1985</v>
      </c>
      <c r="B463" s="26">
        <v>42677</v>
      </c>
      <c r="C463" s="26">
        <v>42677</v>
      </c>
      <c r="D463" t="s">
        <v>939</v>
      </c>
      <c r="E463" s="26">
        <v>42681</v>
      </c>
      <c r="G463">
        <v>2016</v>
      </c>
      <c r="H463" t="s">
        <v>1986</v>
      </c>
      <c r="I463" t="s">
        <v>75</v>
      </c>
      <c r="J463" t="s">
        <v>75</v>
      </c>
      <c r="K463" t="s">
        <v>953</v>
      </c>
      <c r="L463" t="s">
        <v>948</v>
      </c>
      <c r="M463" t="s">
        <v>943</v>
      </c>
      <c r="N463" t="s">
        <v>944</v>
      </c>
    </row>
    <row r="464" spans="1:15">
      <c r="A464" t="s">
        <v>1987</v>
      </c>
      <c r="B464" s="26">
        <v>43377</v>
      </c>
      <c r="C464" s="26">
        <v>43377</v>
      </c>
      <c r="D464" t="s">
        <v>939</v>
      </c>
      <c r="E464" s="26">
        <v>43377</v>
      </c>
      <c r="G464">
        <v>2018</v>
      </c>
      <c r="H464" t="s">
        <v>1988</v>
      </c>
      <c r="I464" t="s">
        <v>75</v>
      </c>
      <c r="J464" t="s">
        <v>75</v>
      </c>
      <c r="K464" t="s">
        <v>953</v>
      </c>
      <c r="L464" t="s">
        <v>967</v>
      </c>
      <c r="M464" t="s">
        <v>968</v>
      </c>
    </row>
    <row r="465" spans="1:17">
      <c r="A465" t="s">
        <v>1989</v>
      </c>
      <c r="B465" s="26">
        <v>43026</v>
      </c>
      <c r="C465" s="26">
        <v>43026</v>
      </c>
      <c r="D465" t="s">
        <v>939</v>
      </c>
      <c r="E465" s="26">
        <v>43026</v>
      </c>
      <c r="G465">
        <v>2017</v>
      </c>
      <c r="H465" t="s">
        <v>1150</v>
      </c>
      <c r="I465" t="s">
        <v>75</v>
      </c>
      <c r="J465" t="s">
        <v>75</v>
      </c>
      <c r="K465" t="s">
        <v>953</v>
      </c>
      <c r="L465" t="s">
        <v>942</v>
      </c>
      <c r="M465" t="s">
        <v>968</v>
      </c>
    </row>
    <row r="466" spans="1:17">
      <c r="A466" t="s">
        <v>1990</v>
      </c>
      <c r="B466" s="26">
        <v>42346</v>
      </c>
      <c r="C466" s="26">
        <v>42346</v>
      </c>
      <c r="D466" t="s">
        <v>939</v>
      </c>
      <c r="E466" s="26">
        <v>42346</v>
      </c>
      <c r="G466">
        <v>2015</v>
      </c>
      <c r="H466" t="s">
        <v>1177</v>
      </c>
      <c r="I466" t="s">
        <v>75</v>
      </c>
      <c r="J466" t="s">
        <v>75</v>
      </c>
      <c r="K466" t="s">
        <v>1991</v>
      </c>
      <c r="L466" t="s">
        <v>942</v>
      </c>
      <c r="M466" t="s">
        <v>943</v>
      </c>
      <c r="N466" t="s">
        <v>944</v>
      </c>
      <c r="O466" t="s">
        <v>1991</v>
      </c>
    </row>
    <row r="467" spans="1:17">
      <c r="A467" t="s">
        <v>1992</v>
      </c>
      <c r="B467" s="26">
        <v>43447</v>
      </c>
      <c r="C467" s="26">
        <v>43447</v>
      </c>
      <c r="D467" t="s">
        <v>939</v>
      </c>
      <c r="E467" s="26">
        <v>43447</v>
      </c>
      <c r="G467">
        <v>2018</v>
      </c>
      <c r="H467" t="s">
        <v>1993</v>
      </c>
      <c r="I467" t="s">
        <v>75</v>
      </c>
      <c r="J467" t="s">
        <v>75</v>
      </c>
      <c r="K467" t="s">
        <v>953</v>
      </c>
      <c r="L467" t="s">
        <v>948</v>
      </c>
      <c r="M467" t="s">
        <v>943</v>
      </c>
      <c r="N467" t="s">
        <v>944</v>
      </c>
    </row>
    <row r="468" spans="1:17">
      <c r="A468" t="s">
        <v>1994</v>
      </c>
      <c r="B468" s="26">
        <v>41586</v>
      </c>
      <c r="C468" s="26">
        <v>41586</v>
      </c>
      <c r="D468" t="s">
        <v>939</v>
      </c>
      <c r="E468" s="26">
        <v>41586</v>
      </c>
      <c r="G468">
        <v>2013</v>
      </c>
      <c r="H468" t="s">
        <v>1995</v>
      </c>
      <c r="I468" t="s">
        <v>75</v>
      </c>
      <c r="J468" t="s">
        <v>75</v>
      </c>
      <c r="K468" t="s">
        <v>953</v>
      </c>
      <c r="L468" t="s">
        <v>948</v>
      </c>
      <c r="M468" t="s">
        <v>943</v>
      </c>
      <c r="N468" t="s">
        <v>944</v>
      </c>
    </row>
    <row r="469" spans="1:17">
      <c r="A469" t="s">
        <v>1996</v>
      </c>
      <c r="B469" s="26">
        <v>42549</v>
      </c>
      <c r="C469" s="26">
        <v>42549</v>
      </c>
      <c r="D469" t="s">
        <v>939</v>
      </c>
      <c r="E469" s="26">
        <v>42550</v>
      </c>
      <c r="G469">
        <v>2016</v>
      </c>
      <c r="H469" t="s">
        <v>1997</v>
      </c>
      <c r="I469" t="s">
        <v>75</v>
      </c>
      <c r="J469" t="s">
        <v>75</v>
      </c>
      <c r="K469" t="s">
        <v>953</v>
      </c>
      <c r="L469" t="s">
        <v>942</v>
      </c>
      <c r="M469" t="s">
        <v>943</v>
      </c>
      <c r="N469" t="s">
        <v>944</v>
      </c>
    </row>
    <row r="470" spans="1:17">
      <c r="A470" t="s">
        <v>1998</v>
      </c>
      <c r="B470" s="26">
        <v>42345</v>
      </c>
      <c r="C470" s="26">
        <v>42345</v>
      </c>
      <c r="D470" t="s">
        <v>939</v>
      </c>
      <c r="E470" s="26">
        <v>42346</v>
      </c>
      <c r="G470">
        <v>2015</v>
      </c>
      <c r="H470" t="s">
        <v>1999</v>
      </c>
      <c r="I470" t="s">
        <v>75</v>
      </c>
      <c r="J470" t="s">
        <v>75</v>
      </c>
      <c r="K470" t="s">
        <v>953</v>
      </c>
      <c r="L470" t="s">
        <v>942</v>
      </c>
      <c r="M470" t="s">
        <v>943</v>
      </c>
      <c r="N470" t="s">
        <v>944</v>
      </c>
    </row>
    <row r="471" spans="1:17">
      <c r="A471" t="s">
        <v>2000</v>
      </c>
      <c r="B471" s="26">
        <v>42345</v>
      </c>
      <c r="C471" s="26">
        <v>42345</v>
      </c>
      <c r="D471" t="s">
        <v>939</v>
      </c>
      <c r="E471" s="26">
        <v>42346</v>
      </c>
      <c r="G471">
        <v>2015</v>
      </c>
      <c r="H471" t="s">
        <v>1058</v>
      </c>
      <c r="I471" t="s">
        <v>75</v>
      </c>
      <c r="J471" t="s">
        <v>75</v>
      </c>
      <c r="K471" t="s">
        <v>953</v>
      </c>
      <c r="L471" t="s">
        <v>942</v>
      </c>
      <c r="M471" t="s">
        <v>943</v>
      </c>
      <c r="N471" t="s">
        <v>944</v>
      </c>
    </row>
    <row r="472" spans="1:17">
      <c r="A472" t="s">
        <v>2001</v>
      </c>
      <c r="B472" s="26">
        <v>41159</v>
      </c>
      <c r="C472" s="26">
        <v>41159</v>
      </c>
      <c r="D472" t="s">
        <v>939</v>
      </c>
      <c r="E472" s="26">
        <v>41162</v>
      </c>
      <c r="G472">
        <v>2012</v>
      </c>
      <c r="H472" t="s">
        <v>2002</v>
      </c>
      <c r="I472" t="s">
        <v>75</v>
      </c>
      <c r="J472" t="s">
        <v>75</v>
      </c>
      <c r="K472" t="s">
        <v>953</v>
      </c>
      <c r="L472" t="s">
        <v>948</v>
      </c>
      <c r="M472" t="s">
        <v>1036</v>
      </c>
      <c r="N472" t="s">
        <v>963</v>
      </c>
    </row>
    <row r="473" spans="1:17">
      <c r="A473" t="s">
        <v>2003</v>
      </c>
      <c r="B473" s="26">
        <v>42549</v>
      </c>
      <c r="C473" s="26">
        <v>42549</v>
      </c>
      <c r="D473" t="s">
        <v>939</v>
      </c>
      <c r="E473" s="26">
        <v>42550</v>
      </c>
      <c r="G473">
        <v>2016</v>
      </c>
      <c r="H473" t="s">
        <v>1177</v>
      </c>
      <c r="I473" t="s">
        <v>75</v>
      </c>
      <c r="J473" t="s">
        <v>75</v>
      </c>
      <c r="K473" t="s">
        <v>1178</v>
      </c>
      <c r="L473" t="s">
        <v>942</v>
      </c>
      <c r="M473" t="s">
        <v>943</v>
      </c>
      <c r="N473" t="s">
        <v>944</v>
      </c>
      <c r="O473" t="s">
        <v>1178</v>
      </c>
    </row>
    <row r="474" spans="1:17">
      <c r="A474" t="s">
        <v>2004</v>
      </c>
      <c r="B474" s="26">
        <v>42143</v>
      </c>
      <c r="C474" s="26">
        <v>42143</v>
      </c>
      <c r="D474" t="s">
        <v>939</v>
      </c>
      <c r="E474" s="26">
        <v>42143</v>
      </c>
      <c r="G474">
        <v>2015</v>
      </c>
      <c r="H474" t="s">
        <v>2005</v>
      </c>
      <c r="I474" t="s">
        <v>75</v>
      </c>
      <c r="J474" t="s">
        <v>75</v>
      </c>
      <c r="K474" t="s">
        <v>953</v>
      </c>
      <c r="L474" t="s">
        <v>942</v>
      </c>
      <c r="M474" t="s">
        <v>968</v>
      </c>
    </row>
    <row r="475" spans="1:17">
      <c r="A475" t="s">
        <v>2006</v>
      </c>
      <c r="B475" s="26">
        <v>44601</v>
      </c>
      <c r="C475" s="26">
        <v>44601</v>
      </c>
      <c r="D475" t="s">
        <v>939</v>
      </c>
      <c r="E475" s="26"/>
      <c r="G475">
        <v>2022</v>
      </c>
      <c r="H475" t="s">
        <v>2007</v>
      </c>
      <c r="I475" t="s">
        <v>75</v>
      </c>
      <c r="J475" t="s">
        <v>75</v>
      </c>
      <c r="K475">
        <v>354804</v>
      </c>
      <c r="L475" t="s">
        <v>1204</v>
      </c>
      <c r="M475" t="s">
        <v>2008</v>
      </c>
      <c r="N475" t="s">
        <v>1088</v>
      </c>
      <c r="P475">
        <v>354804</v>
      </c>
      <c r="Q475">
        <v>354804</v>
      </c>
    </row>
    <row r="476" spans="1:17">
      <c r="A476" t="s">
        <v>2009</v>
      </c>
      <c r="B476" s="26">
        <v>44601</v>
      </c>
      <c r="C476" s="26">
        <v>44601</v>
      </c>
      <c r="D476" t="s">
        <v>939</v>
      </c>
      <c r="E476" s="26"/>
      <c r="G476">
        <v>2022</v>
      </c>
      <c r="H476" t="s">
        <v>2010</v>
      </c>
      <c r="I476" t="s">
        <v>75</v>
      </c>
      <c r="J476" t="s">
        <v>75</v>
      </c>
      <c r="K476">
        <v>-117820</v>
      </c>
      <c r="L476" t="s">
        <v>1204</v>
      </c>
      <c r="M476" t="s">
        <v>1005</v>
      </c>
      <c r="N476" t="s">
        <v>963</v>
      </c>
      <c r="P476" t="s">
        <v>2011</v>
      </c>
      <c r="Q476" t="s">
        <v>2011</v>
      </c>
    </row>
    <row r="477" spans="1:17">
      <c r="A477" t="s">
        <v>2012</v>
      </c>
      <c r="B477" s="26">
        <v>44252</v>
      </c>
      <c r="C477" s="26">
        <v>44252</v>
      </c>
      <c r="D477" t="s">
        <v>939</v>
      </c>
      <c r="E477" s="26"/>
      <c r="G477">
        <v>2021</v>
      </c>
      <c r="H477" t="s">
        <v>2013</v>
      </c>
      <c r="I477" t="s">
        <v>75</v>
      </c>
      <c r="J477" t="s">
        <v>75</v>
      </c>
      <c r="K477" t="s">
        <v>2014</v>
      </c>
      <c r="L477" t="s">
        <v>1204</v>
      </c>
      <c r="M477" t="s">
        <v>2008</v>
      </c>
      <c r="N477" t="s">
        <v>1088</v>
      </c>
      <c r="P477" t="s">
        <v>2014</v>
      </c>
      <c r="Q477" t="s">
        <v>2014</v>
      </c>
    </row>
    <row r="478" spans="1:17">
      <c r="A478" t="s">
        <v>2015</v>
      </c>
      <c r="B478" s="26">
        <v>43843</v>
      </c>
      <c r="C478" s="26">
        <v>43843</v>
      </c>
      <c r="D478" t="s">
        <v>939</v>
      </c>
      <c r="E478" s="26"/>
      <c r="G478">
        <v>2020</v>
      </c>
      <c r="H478" t="s">
        <v>2016</v>
      </c>
      <c r="I478" t="s">
        <v>75</v>
      </c>
      <c r="J478" t="s">
        <v>75</v>
      </c>
      <c r="K478" t="s">
        <v>2017</v>
      </c>
      <c r="L478" t="s">
        <v>1204</v>
      </c>
      <c r="M478" t="s">
        <v>968</v>
      </c>
      <c r="P478" t="s">
        <v>2017</v>
      </c>
      <c r="Q478" t="s">
        <v>2017</v>
      </c>
    </row>
    <row r="479" spans="1:17">
      <c r="A479" t="s">
        <v>2018</v>
      </c>
      <c r="B479" s="26">
        <v>42549</v>
      </c>
      <c r="C479" s="26">
        <v>42549</v>
      </c>
      <c r="D479" t="s">
        <v>939</v>
      </c>
      <c r="E479" s="26">
        <v>42550</v>
      </c>
      <c r="G479">
        <v>2016</v>
      </c>
      <c r="H479" t="s">
        <v>2019</v>
      </c>
      <c r="I479" t="s">
        <v>75</v>
      </c>
      <c r="J479" t="s">
        <v>75</v>
      </c>
      <c r="K479" t="s">
        <v>2020</v>
      </c>
      <c r="L479" t="s">
        <v>942</v>
      </c>
      <c r="M479" t="s">
        <v>943</v>
      </c>
      <c r="N479" t="s">
        <v>944</v>
      </c>
      <c r="O479" t="s">
        <v>2020</v>
      </c>
    </row>
    <row r="480" spans="1:17">
      <c r="A480" t="s">
        <v>2021</v>
      </c>
      <c r="B480" s="26">
        <v>42549</v>
      </c>
      <c r="C480" s="26">
        <v>42549</v>
      </c>
      <c r="D480" t="s">
        <v>939</v>
      </c>
      <c r="E480" s="26">
        <v>42550</v>
      </c>
      <c r="G480">
        <v>2016</v>
      </c>
      <c r="H480" t="s">
        <v>1111</v>
      </c>
      <c r="I480" t="s">
        <v>75</v>
      </c>
      <c r="J480" t="s">
        <v>75</v>
      </c>
      <c r="K480" t="s">
        <v>1479</v>
      </c>
      <c r="L480" t="s">
        <v>942</v>
      </c>
      <c r="M480" t="s">
        <v>943</v>
      </c>
      <c r="N480" t="s">
        <v>944</v>
      </c>
      <c r="O480" t="s">
        <v>1479</v>
      </c>
    </row>
    <row r="481" spans="1:15">
      <c r="A481" t="s">
        <v>2022</v>
      </c>
      <c r="B481" s="26">
        <v>42549</v>
      </c>
      <c r="C481" s="26">
        <v>42549</v>
      </c>
      <c r="D481" t="s">
        <v>939</v>
      </c>
      <c r="E481" s="26">
        <v>42550</v>
      </c>
      <c r="G481">
        <v>2016</v>
      </c>
      <c r="H481" t="s">
        <v>1444</v>
      </c>
      <c r="I481" t="s">
        <v>75</v>
      </c>
      <c r="J481" t="s">
        <v>75</v>
      </c>
      <c r="K481" t="s">
        <v>1491</v>
      </c>
      <c r="L481" t="s">
        <v>942</v>
      </c>
      <c r="M481" t="s">
        <v>943</v>
      </c>
      <c r="N481" t="s">
        <v>944</v>
      </c>
      <c r="O481" t="s">
        <v>1491</v>
      </c>
    </row>
    <row r="482" spans="1:15">
      <c r="A482" t="s">
        <v>2023</v>
      </c>
      <c r="B482" s="26">
        <v>43245</v>
      </c>
      <c r="C482" s="26">
        <v>43245</v>
      </c>
      <c r="D482" t="s">
        <v>939</v>
      </c>
      <c r="E482" s="26">
        <v>43245</v>
      </c>
      <c r="G482">
        <v>2018</v>
      </c>
      <c r="H482" t="s">
        <v>2024</v>
      </c>
      <c r="I482" t="s">
        <v>75</v>
      </c>
      <c r="J482" t="s">
        <v>75</v>
      </c>
      <c r="K482" t="s">
        <v>2025</v>
      </c>
      <c r="L482" t="s">
        <v>967</v>
      </c>
      <c r="M482" t="s">
        <v>943</v>
      </c>
      <c r="N482" t="s">
        <v>944</v>
      </c>
      <c r="O482" t="s">
        <v>2025</v>
      </c>
    </row>
    <row r="483" spans="1:15">
      <c r="A483" t="s">
        <v>2026</v>
      </c>
      <c r="B483" s="26">
        <v>42549</v>
      </c>
      <c r="C483" s="26">
        <v>42549</v>
      </c>
      <c r="D483" t="s">
        <v>939</v>
      </c>
      <c r="E483" s="26">
        <v>42550</v>
      </c>
      <c r="G483">
        <v>2016</v>
      </c>
      <c r="H483" t="s">
        <v>1144</v>
      </c>
      <c r="I483" t="s">
        <v>75</v>
      </c>
      <c r="J483" t="s">
        <v>75</v>
      </c>
      <c r="K483" t="s">
        <v>953</v>
      </c>
      <c r="L483" t="s">
        <v>942</v>
      </c>
      <c r="M483" t="s">
        <v>943</v>
      </c>
      <c r="N483" t="s">
        <v>944</v>
      </c>
    </row>
    <row r="484" spans="1:15">
      <c r="A484" t="s">
        <v>2027</v>
      </c>
      <c r="B484" s="26">
        <v>42550</v>
      </c>
      <c r="C484" s="26">
        <v>42550</v>
      </c>
      <c r="D484" t="s">
        <v>939</v>
      </c>
      <c r="E484" s="26">
        <v>42550</v>
      </c>
      <c r="G484">
        <v>2016</v>
      </c>
      <c r="H484" t="s">
        <v>1142</v>
      </c>
      <c r="I484" t="s">
        <v>75</v>
      </c>
      <c r="J484" t="s">
        <v>75</v>
      </c>
      <c r="K484" t="s">
        <v>953</v>
      </c>
      <c r="L484" t="s">
        <v>942</v>
      </c>
      <c r="M484" t="s">
        <v>943</v>
      </c>
      <c r="N484" t="s">
        <v>944</v>
      </c>
    </row>
    <row r="485" spans="1:15">
      <c r="A485" t="s">
        <v>2028</v>
      </c>
      <c r="B485" s="26">
        <v>42549</v>
      </c>
      <c r="C485" s="26">
        <v>42549</v>
      </c>
      <c r="D485" t="s">
        <v>939</v>
      </c>
      <c r="E485" s="26">
        <v>42550</v>
      </c>
      <c r="G485">
        <v>2016</v>
      </c>
      <c r="H485" t="s">
        <v>1947</v>
      </c>
      <c r="I485" t="s">
        <v>75</v>
      </c>
      <c r="J485" t="s">
        <v>75</v>
      </c>
      <c r="K485" t="s">
        <v>1948</v>
      </c>
      <c r="L485" t="s">
        <v>942</v>
      </c>
      <c r="M485" t="s">
        <v>943</v>
      </c>
      <c r="N485" t="s">
        <v>944</v>
      </c>
      <c r="O485" t="s">
        <v>1948</v>
      </c>
    </row>
    <row r="486" spans="1:15">
      <c r="A486" t="s">
        <v>2029</v>
      </c>
      <c r="B486" s="26">
        <v>41787</v>
      </c>
      <c r="C486" s="26">
        <v>41787</v>
      </c>
      <c r="D486" t="s">
        <v>939</v>
      </c>
      <c r="E486" s="26">
        <v>41788</v>
      </c>
      <c r="G486">
        <v>2014</v>
      </c>
      <c r="H486" t="s">
        <v>2030</v>
      </c>
      <c r="I486" t="s">
        <v>75</v>
      </c>
      <c r="J486" t="s">
        <v>75</v>
      </c>
      <c r="K486" t="s">
        <v>953</v>
      </c>
      <c r="L486" t="s">
        <v>942</v>
      </c>
      <c r="M486" t="s">
        <v>943</v>
      </c>
      <c r="N486" t="s">
        <v>944</v>
      </c>
    </row>
    <row r="487" spans="1:15">
      <c r="A487" t="s">
        <v>2031</v>
      </c>
      <c r="B487" s="26">
        <v>42677</v>
      </c>
      <c r="C487" s="26">
        <v>42677</v>
      </c>
      <c r="D487" t="s">
        <v>939</v>
      </c>
      <c r="E487" s="26">
        <v>42681</v>
      </c>
      <c r="G487">
        <v>2016</v>
      </c>
      <c r="H487" t="s">
        <v>2032</v>
      </c>
      <c r="I487" t="s">
        <v>75</v>
      </c>
      <c r="J487" t="s">
        <v>75</v>
      </c>
      <c r="K487" t="s">
        <v>1093</v>
      </c>
      <c r="L487" t="s">
        <v>948</v>
      </c>
      <c r="M487" t="s">
        <v>943</v>
      </c>
      <c r="N487" t="s">
        <v>944</v>
      </c>
      <c r="O487" t="s">
        <v>1093</v>
      </c>
    </row>
    <row r="488" spans="1:15">
      <c r="A488" t="s">
        <v>2033</v>
      </c>
      <c r="B488" s="26">
        <v>42550</v>
      </c>
      <c r="C488" s="26">
        <v>42550</v>
      </c>
      <c r="D488" t="s">
        <v>939</v>
      </c>
      <c r="E488" s="26">
        <v>42550</v>
      </c>
      <c r="G488">
        <v>2016</v>
      </c>
      <c r="H488" t="s">
        <v>2034</v>
      </c>
      <c r="I488" t="s">
        <v>75</v>
      </c>
      <c r="J488" t="s">
        <v>75</v>
      </c>
      <c r="K488" t="s">
        <v>953</v>
      </c>
      <c r="L488" t="s">
        <v>942</v>
      </c>
      <c r="M488" t="s">
        <v>943</v>
      </c>
      <c r="N488" t="s">
        <v>944</v>
      </c>
    </row>
    <row r="489" spans="1:15">
      <c r="A489" t="s">
        <v>2035</v>
      </c>
      <c r="B489" s="26">
        <v>42345</v>
      </c>
      <c r="C489" s="26">
        <v>42345</v>
      </c>
      <c r="D489" t="s">
        <v>939</v>
      </c>
      <c r="E489" s="26">
        <v>42346</v>
      </c>
      <c r="G489">
        <v>2015</v>
      </c>
      <c r="H489" t="s">
        <v>1485</v>
      </c>
      <c r="I489" t="s">
        <v>75</v>
      </c>
      <c r="J489" t="s">
        <v>75</v>
      </c>
      <c r="K489" t="s">
        <v>953</v>
      </c>
      <c r="L489" t="s">
        <v>942</v>
      </c>
      <c r="M489" t="s">
        <v>943</v>
      </c>
      <c r="N489" t="s">
        <v>944</v>
      </c>
    </row>
    <row r="490" spans="1:15">
      <c r="A490" t="s">
        <v>2036</v>
      </c>
      <c r="B490" s="26">
        <v>42345</v>
      </c>
      <c r="C490" s="26">
        <v>42345</v>
      </c>
      <c r="D490" t="s">
        <v>939</v>
      </c>
      <c r="E490" s="26">
        <v>42346</v>
      </c>
      <c r="G490">
        <v>2015</v>
      </c>
      <c r="H490" t="s">
        <v>1444</v>
      </c>
      <c r="I490" t="s">
        <v>75</v>
      </c>
      <c r="J490" t="s">
        <v>75</v>
      </c>
      <c r="K490" t="s">
        <v>953</v>
      </c>
      <c r="L490" t="s">
        <v>942</v>
      </c>
      <c r="M490" t="s">
        <v>943</v>
      </c>
      <c r="N490" t="s">
        <v>944</v>
      </c>
    </row>
    <row r="491" spans="1:15">
      <c r="A491" t="s">
        <v>2037</v>
      </c>
      <c r="B491" s="26">
        <v>43773</v>
      </c>
      <c r="C491" s="26">
        <v>43773</v>
      </c>
      <c r="D491" t="s">
        <v>939</v>
      </c>
      <c r="E491" s="26">
        <v>43773</v>
      </c>
      <c r="G491">
        <v>2019</v>
      </c>
      <c r="H491" t="s">
        <v>2038</v>
      </c>
      <c r="I491" t="s">
        <v>75</v>
      </c>
      <c r="J491" t="s">
        <v>75</v>
      </c>
      <c r="K491" t="s">
        <v>1035</v>
      </c>
      <c r="L491" t="s">
        <v>967</v>
      </c>
      <c r="M491" t="s">
        <v>1036</v>
      </c>
      <c r="N491" t="s">
        <v>963</v>
      </c>
      <c r="O491" t="s">
        <v>1035</v>
      </c>
    </row>
    <row r="492" spans="1:15">
      <c r="A492" t="s">
        <v>2039</v>
      </c>
      <c r="B492" s="26">
        <v>42677</v>
      </c>
      <c r="C492" s="26">
        <v>42677</v>
      </c>
      <c r="D492" t="s">
        <v>939</v>
      </c>
      <c r="E492" s="26">
        <v>42681</v>
      </c>
      <c r="G492">
        <v>2016</v>
      </c>
      <c r="H492" t="s">
        <v>2040</v>
      </c>
      <c r="I492" t="s">
        <v>75</v>
      </c>
      <c r="J492" t="s">
        <v>75</v>
      </c>
      <c r="K492" t="s">
        <v>953</v>
      </c>
      <c r="L492" t="s">
        <v>948</v>
      </c>
      <c r="M492" t="s">
        <v>943</v>
      </c>
      <c r="N492" t="s">
        <v>944</v>
      </c>
    </row>
    <row r="493" spans="1:15">
      <c r="A493" t="s">
        <v>2041</v>
      </c>
      <c r="B493" s="26">
        <v>42550</v>
      </c>
      <c r="C493" s="26">
        <v>42550</v>
      </c>
      <c r="D493" t="s">
        <v>939</v>
      </c>
      <c r="E493" s="26">
        <v>42550</v>
      </c>
      <c r="G493">
        <v>2016</v>
      </c>
      <c r="H493" t="s">
        <v>1945</v>
      </c>
      <c r="I493" t="s">
        <v>75</v>
      </c>
      <c r="J493" t="s">
        <v>75</v>
      </c>
      <c r="K493" t="s">
        <v>953</v>
      </c>
      <c r="L493" t="s">
        <v>942</v>
      </c>
      <c r="M493" t="s">
        <v>943</v>
      </c>
      <c r="N493" t="s">
        <v>944</v>
      </c>
    </row>
    <row r="494" spans="1:15">
      <c r="A494" t="s">
        <v>2042</v>
      </c>
      <c r="B494" s="26">
        <v>41787</v>
      </c>
      <c r="C494" s="26">
        <v>41787</v>
      </c>
      <c r="D494" t="s">
        <v>939</v>
      </c>
      <c r="E494" s="26">
        <v>41788</v>
      </c>
      <c r="G494">
        <v>2014</v>
      </c>
      <c r="H494" t="s">
        <v>2043</v>
      </c>
      <c r="I494" t="s">
        <v>75</v>
      </c>
      <c r="J494" t="s">
        <v>75</v>
      </c>
      <c r="K494" t="s">
        <v>953</v>
      </c>
      <c r="L494" t="s">
        <v>942</v>
      </c>
      <c r="M494" t="s">
        <v>943</v>
      </c>
      <c r="N494" t="s">
        <v>944</v>
      </c>
    </row>
    <row r="495" spans="1:15">
      <c r="A495" t="s">
        <v>2044</v>
      </c>
      <c r="B495" s="26">
        <v>42550</v>
      </c>
      <c r="C495" s="26">
        <v>42550</v>
      </c>
      <c r="D495" t="s">
        <v>939</v>
      </c>
      <c r="E495" s="26">
        <v>42550</v>
      </c>
      <c r="G495">
        <v>2016</v>
      </c>
      <c r="H495" t="s">
        <v>2034</v>
      </c>
      <c r="I495" t="s">
        <v>75</v>
      </c>
      <c r="J495" t="s">
        <v>75</v>
      </c>
      <c r="K495" t="s">
        <v>953</v>
      </c>
      <c r="L495" t="s">
        <v>942</v>
      </c>
      <c r="M495" t="s">
        <v>943</v>
      </c>
      <c r="N495" t="s">
        <v>944</v>
      </c>
    </row>
    <row r="496" spans="1:15">
      <c r="A496" t="s">
        <v>2045</v>
      </c>
      <c r="B496" s="26">
        <v>44697</v>
      </c>
      <c r="C496" s="26">
        <v>44750</v>
      </c>
      <c r="D496" t="s">
        <v>939</v>
      </c>
      <c r="E496" s="26"/>
      <c r="G496">
        <v>2022</v>
      </c>
      <c r="H496" t="s">
        <v>2046</v>
      </c>
      <c r="I496" t="s">
        <v>1639</v>
      </c>
      <c r="J496" t="s">
        <v>35</v>
      </c>
      <c r="K496" t="s">
        <v>953</v>
      </c>
      <c r="L496" t="s">
        <v>2047</v>
      </c>
      <c r="M496" t="s">
        <v>2048</v>
      </c>
      <c r="N496" t="s">
        <v>963</v>
      </c>
    </row>
    <row r="497" spans="1:17">
      <c r="A497" t="s">
        <v>2049</v>
      </c>
      <c r="B497" s="26">
        <v>42678</v>
      </c>
      <c r="C497" s="26">
        <v>42678</v>
      </c>
      <c r="D497" t="s">
        <v>1206</v>
      </c>
      <c r="E497" s="26"/>
      <c r="G497">
        <v>2015</v>
      </c>
      <c r="H497" t="s">
        <v>2050</v>
      </c>
      <c r="I497" t="s">
        <v>47</v>
      </c>
      <c r="K497">
        <v>3000000</v>
      </c>
      <c r="M497" t="s">
        <v>1209</v>
      </c>
      <c r="N497" t="s">
        <v>1210</v>
      </c>
      <c r="Q497">
        <v>3000000</v>
      </c>
    </row>
    <row r="498" spans="1:17">
      <c r="A498" t="s">
        <v>2051</v>
      </c>
      <c r="B498" s="26">
        <v>41081</v>
      </c>
      <c r="C498" s="26">
        <v>41220</v>
      </c>
      <c r="D498" t="s">
        <v>939</v>
      </c>
      <c r="E498" s="26"/>
      <c r="G498">
        <v>2012</v>
      </c>
      <c r="H498" t="s">
        <v>2052</v>
      </c>
      <c r="I498" t="s">
        <v>47</v>
      </c>
      <c r="J498" t="s">
        <v>47</v>
      </c>
      <c r="K498">
        <v>15000000</v>
      </c>
      <c r="L498" t="s">
        <v>2053</v>
      </c>
      <c r="M498" t="s">
        <v>1222</v>
      </c>
      <c r="N498" t="s">
        <v>963</v>
      </c>
      <c r="O498">
        <v>15000000</v>
      </c>
      <c r="P498">
        <v>2999100</v>
      </c>
    </row>
    <row r="499" spans="1:17">
      <c r="A499" t="s">
        <v>2051</v>
      </c>
      <c r="B499" s="26">
        <v>41081</v>
      </c>
      <c r="C499" s="26">
        <v>41220</v>
      </c>
      <c r="D499" t="s">
        <v>939</v>
      </c>
      <c r="E499" s="26"/>
      <c r="G499">
        <v>2012</v>
      </c>
      <c r="H499" t="s">
        <v>2052</v>
      </c>
      <c r="I499" t="s">
        <v>47</v>
      </c>
      <c r="J499" t="s">
        <v>47</v>
      </c>
      <c r="K499">
        <v>7500000</v>
      </c>
      <c r="L499" t="s">
        <v>2054</v>
      </c>
      <c r="M499" t="s">
        <v>1222</v>
      </c>
      <c r="N499" t="s">
        <v>963</v>
      </c>
      <c r="O499">
        <v>7500000</v>
      </c>
      <c r="P499">
        <v>2999100</v>
      </c>
    </row>
    <row r="500" spans="1:17">
      <c r="A500" t="s">
        <v>2051</v>
      </c>
      <c r="B500" s="26">
        <v>41081</v>
      </c>
      <c r="C500" s="26">
        <v>41220</v>
      </c>
      <c r="D500" t="s">
        <v>939</v>
      </c>
      <c r="E500" s="26"/>
      <c r="G500">
        <v>2012</v>
      </c>
      <c r="H500" t="s">
        <v>2052</v>
      </c>
      <c r="I500" t="s">
        <v>47</v>
      </c>
      <c r="J500" t="s">
        <v>47</v>
      </c>
      <c r="K500">
        <v>7500000</v>
      </c>
      <c r="L500" t="s">
        <v>1221</v>
      </c>
      <c r="M500" t="s">
        <v>1222</v>
      </c>
      <c r="N500" t="s">
        <v>963</v>
      </c>
      <c r="O500">
        <v>7500000</v>
      </c>
      <c r="P500">
        <v>2999100</v>
      </c>
    </row>
    <row r="501" spans="1:17">
      <c r="A501" t="s">
        <v>2051</v>
      </c>
      <c r="B501" s="26">
        <v>41081</v>
      </c>
      <c r="C501" s="26">
        <v>41220</v>
      </c>
      <c r="D501" t="s">
        <v>939</v>
      </c>
      <c r="E501" s="26"/>
      <c r="G501">
        <v>2012</v>
      </c>
      <c r="H501" t="s">
        <v>2052</v>
      </c>
      <c r="I501" t="s">
        <v>47</v>
      </c>
      <c r="J501" t="s">
        <v>47</v>
      </c>
      <c r="K501">
        <v>5500000</v>
      </c>
      <c r="L501" t="s">
        <v>1224</v>
      </c>
      <c r="M501" t="s">
        <v>1222</v>
      </c>
      <c r="N501" t="s">
        <v>963</v>
      </c>
      <c r="O501">
        <v>5500000</v>
      </c>
      <c r="P501">
        <v>2999100</v>
      </c>
    </row>
    <row r="502" spans="1:17">
      <c r="A502" t="s">
        <v>2051</v>
      </c>
      <c r="B502" s="26">
        <v>41081</v>
      </c>
      <c r="C502" s="26">
        <v>41220</v>
      </c>
      <c r="D502" t="s">
        <v>939</v>
      </c>
      <c r="E502" s="26"/>
      <c r="G502">
        <v>2012</v>
      </c>
      <c r="H502" t="s">
        <v>2052</v>
      </c>
      <c r="I502" t="s">
        <v>47</v>
      </c>
      <c r="J502" t="s">
        <v>47</v>
      </c>
      <c r="K502">
        <v>1500000</v>
      </c>
      <c r="L502" t="s">
        <v>1221</v>
      </c>
      <c r="M502" t="s">
        <v>1222</v>
      </c>
      <c r="N502" t="s">
        <v>963</v>
      </c>
      <c r="O502">
        <v>1500000</v>
      </c>
      <c r="P502">
        <v>2999100</v>
      </c>
    </row>
    <row r="503" spans="1:17">
      <c r="A503" t="s">
        <v>2051</v>
      </c>
      <c r="B503" s="26">
        <v>41081</v>
      </c>
      <c r="C503" s="26">
        <v>41220</v>
      </c>
      <c r="D503" t="s">
        <v>939</v>
      </c>
      <c r="E503" s="26"/>
      <c r="G503">
        <v>2012</v>
      </c>
      <c r="H503" t="s">
        <v>2052</v>
      </c>
      <c r="I503" t="s">
        <v>47</v>
      </c>
      <c r="J503" t="s">
        <v>47</v>
      </c>
      <c r="K503">
        <v>2999100</v>
      </c>
      <c r="L503" t="s">
        <v>2055</v>
      </c>
      <c r="M503" t="s">
        <v>1222</v>
      </c>
      <c r="N503" t="s">
        <v>963</v>
      </c>
      <c r="O503">
        <v>2999100</v>
      </c>
      <c r="P503">
        <v>2999100</v>
      </c>
    </row>
    <row r="504" spans="1:17">
      <c r="A504" t="s">
        <v>2056</v>
      </c>
      <c r="B504" s="26">
        <v>42319</v>
      </c>
      <c r="C504" s="26">
        <v>42319</v>
      </c>
      <c r="D504" t="s">
        <v>1206</v>
      </c>
      <c r="E504" s="26"/>
      <c r="G504">
        <v>2014</v>
      </c>
      <c r="H504" t="s">
        <v>2057</v>
      </c>
      <c r="I504" t="s">
        <v>47</v>
      </c>
      <c r="J504" t="s">
        <v>39</v>
      </c>
      <c r="K504">
        <v>10500000</v>
      </c>
      <c r="L504" t="s">
        <v>1708</v>
      </c>
      <c r="M504" t="s">
        <v>1209</v>
      </c>
      <c r="N504" t="s">
        <v>1210</v>
      </c>
      <c r="P504">
        <v>10500000</v>
      </c>
      <c r="Q504">
        <v>10500000</v>
      </c>
    </row>
    <row r="505" spans="1:17">
      <c r="A505" t="s">
        <v>2058</v>
      </c>
      <c r="B505" s="26">
        <v>41424</v>
      </c>
      <c r="C505" s="26">
        <v>41424</v>
      </c>
      <c r="D505" t="s">
        <v>1206</v>
      </c>
      <c r="E505" s="26"/>
      <c r="G505">
        <v>2013</v>
      </c>
      <c r="H505" t="s">
        <v>1232</v>
      </c>
      <c r="I505" t="s">
        <v>39</v>
      </c>
      <c r="J505" t="s">
        <v>39</v>
      </c>
      <c r="K505">
        <v>126050</v>
      </c>
      <c r="L505" t="s">
        <v>1264</v>
      </c>
      <c r="M505" t="s">
        <v>1234</v>
      </c>
      <c r="N505" t="s">
        <v>963</v>
      </c>
      <c r="P505">
        <v>126050</v>
      </c>
      <c r="Q505">
        <v>126050</v>
      </c>
    </row>
    <row r="506" spans="1:17">
      <c r="A506" t="s">
        <v>2059</v>
      </c>
      <c r="B506" s="26">
        <v>43685</v>
      </c>
      <c r="C506" s="26">
        <v>43685</v>
      </c>
      <c r="D506" t="s">
        <v>1206</v>
      </c>
      <c r="E506" s="26"/>
      <c r="G506">
        <v>2019</v>
      </c>
      <c r="H506" t="s">
        <v>2060</v>
      </c>
      <c r="I506" t="s">
        <v>80</v>
      </c>
      <c r="J506" t="s">
        <v>39</v>
      </c>
      <c r="K506">
        <v>20000000</v>
      </c>
      <c r="L506" t="s">
        <v>2061</v>
      </c>
      <c r="M506" t="s">
        <v>1709</v>
      </c>
      <c r="N506" t="s">
        <v>1210</v>
      </c>
      <c r="P506">
        <v>20000000</v>
      </c>
    </row>
    <row r="507" spans="1:17">
      <c r="A507" t="s">
        <v>2062</v>
      </c>
      <c r="B507" s="26">
        <v>43808</v>
      </c>
      <c r="C507" s="26">
        <v>43808</v>
      </c>
      <c r="D507" t="s">
        <v>1206</v>
      </c>
      <c r="E507" s="26"/>
      <c r="G507">
        <v>2019</v>
      </c>
      <c r="H507" t="s">
        <v>2063</v>
      </c>
      <c r="I507" t="s">
        <v>80</v>
      </c>
      <c r="J507" t="s">
        <v>61</v>
      </c>
      <c r="K507">
        <v>40000000</v>
      </c>
      <c r="L507" t="s">
        <v>2064</v>
      </c>
      <c r="M507" t="s">
        <v>1709</v>
      </c>
      <c r="N507" t="s">
        <v>1210</v>
      </c>
      <c r="P507">
        <v>40000000</v>
      </c>
    </row>
    <row r="508" spans="1:17">
      <c r="A508" t="s">
        <v>2065</v>
      </c>
      <c r="B508" s="26">
        <v>42098</v>
      </c>
      <c r="C508" s="26">
        <v>42098</v>
      </c>
      <c r="D508" t="s">
        <v>1206</v>
      </c>
      <c r="E508" s="26"/>
      <c r="G508">
        <v>2015</v>
      </c>
      <c r="H508" t="s">
        <v>2066</v>
      </c>
      <c r="I508" t="s">
        <v>80</v>
      </c>
      <c r="J508" t="s">
        <v>39</v>
      </c>
      <c r="K508">
        <v>5300000</v>
      </c>
      <c r="L508" t="s">
        <v>2067</v>
      </c>
      <c r="M508" t="s">
        <v>1709</v>
      </c>
      <c r="N508" t="s">
        <v>1210</v>
      </c>
      <c r="P508">
        <v>5300000</v>
      </c>
      <c r="Q508">
        <v>5300000</v>
      </c>
    </row>
    <row r="509" spans="1:17">
      <c r="A509" t="s">
        <v>2068</v>
      </c>
      <c r="B509" s="26">
        <v>42588</v>
      </c>
      <c r="C509" s="26">
        <v>42588</v>
      </c>
      <c r="D509" t="s">
        <v>1206</v>
      </c>
      <c r="E509" s="26"/>
      <c r="G509">
        <v>2016</v>
      </c>
      <c r="H509" t="s">
        <v>2069</v>
      </c>
      <c r="I509" t="s">
        <v>80</v>
      </c>
      <c r="J509" t="s">
        <v>113</v>
      </c>
      <c r="K509">
        <v>10200000</v>
      </c>
      <c r="L509" t="s">
        <v>2070</v>
      </c>
      <c r="M509" t="s">
        <v>1709</v>
      </c>
      <c r="N509" t="s">
        <v>1210</v>
      </c>
      <c r="P509">
        <v>10200000</v>
      </c>
      <c r="Q509">
        <v>10200000</v>
      </c>
    </row>
    <row r="510" spans="1:17">
      <c r="A510" t="s">
        <v>2071</v>
      </c>
      <c r="B510" s="26">
        <v>43424</v>
      </c>
      <c r="C510" s="26">
        <v>43424</v>
      </c>
      <c r="D510" t="s">
        <v>939</v>
      </c>
      <c r="E510" s="26"/>
      <c r="G510">
        <v>2018</v>
      </c>
      <c r="H510" t="s">
        <v>2072</v>
      </c>
      <c r="I510" t="s">
        <v>157</v>
      </c>
      <c r="J510" t="s">
        <v>157</v>
      </c>
      <c r="K510">
        <v>45039</v>
      </c>
      <c r="L510" t="s">
        <v>2073</v>
      </c>
      <c r="M510" t="s">
        <v>2074</v>
      </c>
      <c r="Q510">
        <v>45039</v>
      </c>
    </row>
    <row r="511" spans="1:17">
      <c r="A511" t="s">
        <v>2075</v>
      </c>
      <c r="B511" s="26">
        <v>43522</v>
      </c>
      <c r="C511" s="26">
        <v>43522</v>
      </c>
      <c r="D511" t="s">
        <v>1206</v>
      </c>
      <c r="E511" s="26"/>
      <c r="G511">
        <v>2019</v>
      </c>
      <c r="H511" t="s">
        <v>2076</v>
      </c>
      <c r="I511" t="s">
        <v>157</v>
      </c>
      <c r="J511" t="s">
        <v>157</v>
      </c>
      <c r="K511" t="s">
        <v>953</v>
      </c>
      <c r="L511" t="s">
        <v>2077</v>
      </c>
      <c r="M511" t="s">
        <v>2078</v>
      </c>
    </row>
    <row r="512" spans="1:17">
      <c r="A512" t="s">
        <v>2079</v>
      </c>
      <c r="B512" s="26">
        <v>43189</v>
      </c>
      <c r="C512" s="26">
        <v>43189</v>
      </c>
      <c r="D512" t="s">
        <v>1206</v>
      </c>
      <c r="E512" s="26"/>
      <c r="G512">
        <v>2018</v>
      </c>
      <c r="H512" t="s">
        <v>2080</v>
      </c>
      <c r="I512" t="s">
        <v>39</v>
      </c>
      <c r="J512" t="s">
        <v>39</v>
      </c>
      <c r="K512" t="s">
        <v>953</v>
      </c>
      <c r="L512" t="s">
        <v>2081</v>
      </c>
      <c r="M512" t="s">
        <v>1234</v>
      </c>
      <c r="N512" t="s">
        <v>963</v>
      </c>
    </row>
    <row r="513" spans="1:17">
      <c r="A513" t="s">
        <v>2082</v>
      </c>
      <c r="B513" s="26">
        <v>41592</v>
      </c>
      <c r="C513" s="26">
        <v>41592</v>
      </c>
      <c r="D513" t="s">
        <v>939</v>
      </c>
      <c r="E513" s="26"/>
      <c r="G513">
        <v>2013</v>
      </c>
      <c r="H513" t="s">
        <v>1287</v>
      </c>
      <c r="I513" t="s">
        <v>39</v>
      </c>
      <c r="J513" t="s">
        <v>39</v>
      </c>
      <c r="K513">
        <v>787200</v>
      </c>
      <c r="L513" t="s">
        <v>2083</v>
      </c>
      <c r="M513" t="s">
        <v>1234</v>
      </c>
      <c r="N513" t="s">
        <v>963</v>
      </c>
      <c r="P513">
        <v>787200</v>
      </c>
    </row>
    <row r="514" spans="1:17">
      <c r="A514" t="s">
        <v>2084</v>
      </c>
      <c r="B514" s="26">
        <v>41804</v>
      </c>
      <c r="C514" s="26">
        <v>41804</v>
      </c>
      <c r="D514" t="s">
        <v>1206</v>
      </c>
      <c r="E514" s="26"/>
      <c r="G514">
        <v>2014</v>
      </c>
      <c r="H514" t="s">
        <v>1236</v>
      </c>
      <c r="I514" t="s">
        <v>39</v>
      </c>
      <c r="J514" t="s">
        <v>39</v>
      </c>
      <c r="K514">
        <v>252101</v>
      </c>
      <c r="L514" t="s">
        <v>1284</v>
      </c>
      <c r="M514" t="s">
        <v>1234</v>
      </c>
      <c r="N514" t="s">
        <v>963</v>
      </c>
      <c r="P514">
        <v>252101</v>
      </c>
      <c r="Q514">
        <v>252101</v>
      </c>
    </row>
    <row r="515" spans="1:17">
      <c r="A515" t="s">
        <v>2085</v>
      </c>
      <c r="B515" s="26">
        <v>41480</v>
      </c>
      <c r="C515" s="26">
        <v>41480</v>
      </c>
      <c r="D515" t="s">
        <v>1206</v>
      </c>
      <c r="E515" s="26"/>
      <c r="G515">
        <v>2013</v>
      </c>
      <c r="H515" t="s">
        <v>1232</v>
      </c>
      <c r="I515" t="s">
        <v>39</v>
      </c>
      <c r="J515" t="s">
        <v>39</v>
      </c>
      <c r="K515">
        <v>21008</v>
      </c>
      <c r="L515" t="s">
        <v>1238</v>
      </c>
      <c r="M515" t="s">
        <v>1234</v>
      </c>
      <c r="N515" t="s">
        <v>963</v>
      </c>
      <c r="P515">
        <v>21008</v>
      </c>
      <c r="Q515">
        <v>21008</v>
      </c>
    </row>
    <row r="516" spans="1:17">
      <c r="A516" t="s">
        <v>2086</v>
      </c>
      <c r="B516" s="26">
        <v>41444</v>
      </c>
      <c r="C516" s="26">
        <v>41444</v>
      </c>
      <c r="D516" t="s">
        <v>1206</v>
      </c>
      <c r="E516" s="26"/>
      <c r="G516">
        <v>2013</v>
      </c>
      <c r="H516" t="s">
        <v>1232</v>
      </c>
      <c r="I516" t="s">
        <v>39</v>
      </c>
      <c r="J516" t="s">
        <v>39</v>
      </c>
      <c r="K516">
        <v>588235</v>
      </c>
      <c r="L516" t="s">
        <v>1274</v>
      </c>
      <c r="M516" t="s">
        <v>1234</v>
      </c>
      <c r="N516" t="s">
        <v>963</v>
      </c>
      <c r="P516">
        <v>588235</v>
      </c>
      <c r="Q516">
        <v>588235</v>
      </c>
    </row>
    <row r="517" spans="1:17">
      <c r="A517" t="s">
        <v>2087</v>
      </c>
      <c r="B517" s="26">
        <v>41731</v>
      </c>
      <c r="C517" s="26">
        <v>41731</v>
      </c>
      <c r="D517" t="s">
        <v>1206</v>
      </c>
      <c r="E517" s="26"/>
      <c r="G517">
        <v>2014</v>
      </c>
      <c r="H517" t="s">
        <v>1236</v>
      </c>
      <c r="I517" t="s">
        <v>39</v>
      </c>
      <c r="J517" t="s">
        <v>39</v>
      </c>
      <c r="K517">
        <v>84034</v>
      </c>
      <c r="L517" t="s">
        <v>2088</v>
      </c>
      <c r="M517" t="s">
        <v>1234</v>
      </c>
      <c r="N517" t="s">
        <v>963</v>
      </c>
      <c r="P517">
        <v>84034</v>
      </c>
      <c r="Q517">
        <v>84034</v>
      </c>
    </row>
    <row r="518" spans="1:17">
      <c r="A518" t="s">
        <v>2089</v>
      </c>
      <c r="B518" s="26">
        <v>41718</v>
      </c>
      <c r="C518" s="26">
        <v>41718</v>
      </c>
      <c r="D518" t="s">
        <v>1206</v>
      </c>
      <c r="E518" s="26"/>
      <c r="G518">
        <v>2014</v>
      </c>
      <c r="H518" t="s">
        <v>1236</v>
      </c>
      <c r="I518" t="s">
        <v>39</v>
      </c>
      <c r="J518" t="s">
        <v>39</v>
      </c>
      <c r="K518">
        <v>42017</v>
      </c>
      <c r="L518" t="s">
        <v>1270</v>
      </c>
      <c r="M518" t="s">
        <v>1234</v>
      </c>
      <c r="N518" t="s">
        <v>963</v>
      </c>
      <c r="P518">
        <v>42017</v>
      </c>
      <c r="Q518">
        <v>42017</v>
      </c>
    </row>
    <row r="519" spans="1:17">
      <c r="A519" t="s">
        <v>2090</v>
      </c>
      <c r="B519" s="26">
        <v>41804</v>
      </c>
      <c r="C519" s="26">
        <v>41804</v>
      </c>
      <c r="D519" t="s">
        <v>1206</v>
      </c>
      <c r="E519" s="26"/>
      <c r="G519">
        <v>2014</v>
      </c>
      <c r="H519" t="s">
        <v>1236</v>
      </c>
      <c r="I519" t="s">
        <v>39</v>
      </c>
      <c r="J519" t="s">
        <v>39</v>
      </c>
      <c r="K519">
        <v>210084</v>
      </c>
      <c r="L519" t="s">
        <v>2091</v>
      </c>
      <c r="M519" t="s">
        <v>1234</v>
      </c>
      <c r="N519" t="s">
        <v>963</v>
      </c>
      <c r="P519">
        <v>210084</v>
      </c>
      <c r="Q519">
        <v>210084</v>
      </c>
    </row>
    <row r="520" spans="1:17">
      <c r="A520" t="s">
        <v>2092</v>
      </c>
      <c r="B520" s="26">
        <v>41443</v>
      </c>
      <c r="C520" s="26">
        <v>41443</v>
      </c>
      <c r="D520" t="s">
        <v>1206</v>
      </c>
      <c r="E520" s="26"/>
      <c r="G520">
        <v>2013</v>
      </c>
      <c r="H520" t="s">
        <v>1232</v>
      </c>
      <c r="I520" t="s">
        <v>39</v>
      </c>
      <c r="J520" t="s">
        <v>39</v>
      </c>
      <c r="K520">
        <v>2521008</v>
      </c>
      <c r="L520" t="s">
        <v>1255</v>
      </c>
      <c r="M520" t="s">
        <v>1234</v>
      </c>
      <c r="N520" t="s">
        <v>963</v>
      </c>
      <c r="P520">
        <v>2521008</v>
      </c>
      <c r="Q520">
        <v>2521008</v>
      </c>
    </row>
    <row r="521" spans="1:17">
      <c r="A521" t="s">
        <v>2093</v>
      </c>
      <c r="B521" s="26">
        <v>41804</v>
      </c>
      <c r="C521" s="26">
        <v>41804</v>
      </c>
      <c r="D521" t="s">
        <v>1206</v>
      </c>
      <c r="E521" s="26"/>
      <c r="G521">
        <v>2014</v>
      </c>
      <c r="H521" t="s">
        <v>1236</v>
      </c>
      <c r="I521" t="s">
        <v>39</v>
      </c>
      <c r="J521" t="s">
        <v>39</v>
      </c>
      <c r="K521">
        <v>25210</v>
      </c>
      <c r="L521" t="s">
        <v>2094</v>
      </c>
      <c r="M521" t="s">
        <v>1234</v>
      </c>
      <c r="N521" t="s">
        <v>963</v>
      </c>
      <c r="P521">
        <v>25210</v>
      </c>
      <c r="Q521">
        <v>25210</v>
      </c>
    </row>
    <row r="522" spans="1:17">
      <c r="A522" t="s">
        <v>2095</v>
      </c>
      <c r="B522" s="26">
        <v>41480</v>
      </c>
      <c r="C522" s="26">
        <v>41480</v>
      </c>
      <c r="D522" t="s">
        <v>1206</v>
      </c>
      <c r="E522" s="26"/>
      <c r="G522">
        <v>2013</v>
      </c>
      <c r="H522" t="s">
        <v>1232</v>
      </c>
      <c r="I522" t="s">
        <v>39</v>
      </c>
      <c r="J522" t="s">
        <v>39</v>
      </c>
      <c r="K522">
        <v>168067</v>
      </c>
      <c r="L522" t="s">
        <v>1276</v>
      </c>
      <c r="M522" t="s">
        <v>1234</v>
      </c>
      <c r="N522" t="s">
        <v>963</v>
      </c>
      <c r="P522">
        <v>168067</v>
      </c>
      <c r="Q522">
        <v>168067</v>
      </c>
    </row>
    <row r="523" spans="1:17">
      <c r="A523" t="s">
        <v>2096</v>
      </c>
      <c r="B523" s="26">
        <v>41361</v>
      </c>
      <c r="C523" s="26">
        <v>41361</v>
      </c>
      <c r="D523" t="s">
        <v>1206</v>
      </c>
      <c r="E523" s="26"/>
      <c r="G523">
        <v>2013</v>
      </c>
      <c r="I523" t="s">
        <v>39</v>
      </c>
      <c r="J523" t="s">
        <v>39</v>
      </c>
      <c r="K523" t="s">
        <v>953</v>
      </c>
      <c r="L523" t="s">
        <v>2097</v>
      </c>
      <c r="M523" t="s">
        <v>2098</v>
      </c>
      <c r="N523" t="s">
        <v>963</v>
      </c>
    </row>
    <row r="524" spans="1:17">
      <c r="A524" t="s">
        <v>2099</v>
      </c>
      <c r="B524" s="26">
        <v>41101</v>
      </c>
      <c r="C524" s="26">
        <v>41101</v>
      </c>
      <c r="D524" t="s">
        <v>1206</v>
      </c>
      <c r="E524" s="26"/>
      <c r="G524">
        <v>2012</v>
      </c>
      <c r="H524" t="s">
        <v>1257</v>
      </c>
      <c r="I524" t="s">
        <v>39</v>
      </c>
      <c r="J524" t="s">
        <v>39</v>
      </c>
      <c r="K524">
        <v>630252</v>
      </c>
      <c r="L524" t="s">
        <v>2100</v>
      </c>
      <c r="M524" t="s">
        <v>1244</v>
      </c>
      <c r="N524" t="s">
        <v>963</v>
      </c>
      <c r="P524">
        <v>630252</v>
      </c>
      <c r="Q524">
        <v>630252</v>
      </c>
    </row>
    <row r="525" spans="1:17">
      <c r="A525" t="s">
        <v>2101</v>
      </c>
      <c r="B525" s="26">
        <v>41503</v>
      </c>
      <c r="C525" s="26">
        <v>41503</v>
      </c>
      <c r="D525" t="s">
        <v>1206</v>
      </c>
      <c r="E525" s="26"/>
      <c r="G525">
        <v>2013</v>
      </c>
      <c r="H525" t="s">
        <v>1232</v>
      </c>
      <c r="I525" t="s">
        <v>39</v>
      </c>
      <c r="J525" t="s">
        <v>39</v>
      </c>
      <c r="K525">
        <v>42017</v>
      </c>
      <c r="L525" t="s">
        <v>2102</v>
      </c>
      <c r="M525" t="s">
        <v>1234</v>
      </c>
      <c r="N525" t="s">
        <v>963</v>
      </c>
      <c r="P525">
        <v>42017</v>
      </c>
      <c r="Q525">
        <v>42017</v>
      </c>
    </row>
    <row r="526" spans="1:17">
      <c r="A526" t="s">
        <v>2103</v>
      </c>
      <c r="B526" s="26">
        <v>41361</v>
      </c>
      <c r="C526" s="26">
        <v>41361</v>
      </c>
      <c r="D526" t="s">
        <v>1206</v>
      </c>
      <c r="E526" s="26"/>
      <c r="G526">
        <v>2012</v>
      </c>
      <c r="H526" t="s">
        <v>2104</v>
      </c>
      <c r="I526" t="s">
        <v>39</v>
      </c>
      <c r="J526" t="s">
        <v>39</v>
      </c>
      <c r="K526" t="s">
        <v>953</v>
      </c>
      <c r="L526" t="s">
        <v>2097</v>
      </c>
      <c r="M526" t="s">
        <v>2098</v>
      </c>
      <c r="N526" t="s">
        <v>963</v>
      </c>
    </row>
    <row r="527" spans="1:17">
      <c r="A527" t="s">
        <v>2105</v>
      </c>
      <c r="B527" s="26">
        <v>41480</v>
      </c>
      <c r="C527" s="26">
        <v>41480</v>
      </c>
      <c r="D527" t="s">
        <v>1206</v>
      </c>
      <c r="E527" s="26"/>
      <c r="G527">
        <v>2013</v>
      </c>
      <c r="H527" t="s">
        <v>1232</v>
      </c>
      <c r="I527" t="s">
        <v>39</v>
      </c>
      <c r="J527" t="s">
        <v>39</v>
      </c>
      <c r="K527">
        <v>1008403</v>
      </c>
      <c r="L527" t="s">
        <v>1243</v>
      </c>
      <c r="M527" t="s">
        <v>1234</v>
      </c>
      <c r="N527" t="s">
        <v>963</v>
      </c>
      <c r="P527">
        <v>1008403</v>
      </c>
      <c r="Q527">
        <v>1008403</v>
      </c>
    </row>
    <row r="528" spans="1:17">
      <c r="A528" t="s">
        <v>2106</v>
      </c>
      <c r="B528" s="26">
        <v>41424</v>
      </c>
      <c r="C528" s="26">
        <v>41424</v>
      </c>
      <c r="D528" t="s">
        <v>1206</v>
      </c>
      <c r="E528" s="26"/>
      <c r="G528">
        <v>2013</v>
      </c>
      <c r="H528" t="s">
        <v>1232</v>
      </c>
      <c r="I528" t="s">
        <v>39</v>
      </c>
      <c r="J528" t="s">
        <v>39</v>
      </c>
      <c r="K528">
        <v>168067</v>
      </c>
      <c r="L528" t="s">
        <v>2107</v>
      </c>
      <c r="M528" t="s">
        <v>1234</v>
      </c>
      <c r="N528" t="s">
        <v>963</v>
      </c>
      <c r="P528">
        <v>168067</v>
      </c>
      <c r="Q528">
        <v>168067</v>
      </c>
    </row>
    <row r="529" spans="1:17">
      <c r="A529" t="s">
        <v>2108</v>
      </c>
      <c r="B529" s="26">
        <v>41019</v>
      </c>
      <c r="C529" s="26">
        <v>41019</v>
      </c>
      <c r="D529" t="s">
        <v>1206</v>
      </c>
      <c r="E529" s="26"/>
      <c r="G529">
        <v>2012</v>
      </c>
      <c r="H529" t="s">
        <v>1242</v>
      </c>
      <c r="I529" t="s">
        <v>39</v>
      </c>
      <c r="J529" t="s">
        <v>39</v>
      </c>
      <c r="K529">
        <v>8403361</v>
      </c>
      <c r="L529" t="s">
        <v>2109</v>
      </c>
      <c r="M529" t="s">
        <v>1244</v>
      </c>
      <c r="N529" t="s">
        <v>963</v>
      </c>
      <c r="P529">
        <v>8403361</v>
      </c>
      <c r="Q529">
        <v>8403361</v>
      </c>
    </row>
    <row r="530" spans="1:17">
      <c r="A530" t="s">
        <v>2110</v>
      </c>
      <c r="B530" s="26">
        <v>41443</v>
      </c>
      <c r="C530" s="26">
        <v>41443</v>
      </c>
      <c r="D530" t="s">
        <v>1206</v>
      </c>
      <c r="E530" s="26"/>
      <c r="G530">
        <v>2013</v>
      </c>
      <c r="H530" t="s">
        <v>1232</v>
      </c>
      <c r="I530" t="s">
        <v>39</v>
      </c>
      <c r="J530" t="s">
        <v>39</v>
      </c>
      <c r="K530">
        <v>420168</v>
      </c>
      <c r="L530" t="s">
        <v>1278</v>
      </c>
      <c r="M530" t="s">
        <v>1234</v>
      </c>
      <c r="N530" t="s">
        <v>963</v>
      </c>
      <c r="P530">
        <v>420168</v>
      </c>
      <c r="Q530">
        <v>420168</v>
      </c>
    </row>
    <row r="531" spans="1:17">
      <c r="A531" t="s">
        <v>2110</v>
      </c>
      <c r="B531" s="26">
        <v>41443</v>
      </c>
      <c r="C531" s="26">
        <v>41443</v>
      </c>
      <c r="D531" t="s">
        <v>1206</v>
      </c>
      <c r="E531" s="26"/>
      <c r="G531">
        <v>2013</v>
      </c>
      <c r="H531" t="s">
        <v>1232</v>
      </c>
      <c r="I531" t="s">
        <v>39</v>
      </c>
      <c r="J531" t="s">
        <v>39</v>
      </c>
      <c r="K531">
        <v>420168</v>
      </c>
      <c r="L531" t="s">
        <v>1278</v>
      </c>
      <c r="M531" t="s">
        <v>1234</v>
      </c>
      <c r="N531" t="s">
        <v>963</v>
      </c>
      <c r="P531">
        <v>420168</v>
      </c>
      <c r="Q531">
        <v>420168</v>
      </c>
    </row>
    <row r="532" spans="1:17">
      <c r="A532" t="s">
        <v>2111</v>
      </c>
      <c r="B532" s="26">
        <v>41731</v>
      </c>
      <c r="C532" s="26">
        <v>41731</v>
      </c>
      <c r="D532" t="s">
        <v>1206</v>
      </c>
      <c r="E532" s="26"/>
      <c r="G532">
        <v>2014</v>
      </c>
      <c r="H532" t="s">
        <v>1236</v>
      </c>
      <c r="I532" t="s">
        <v>39</v>
      </c>
      <c r="J532" t="s">
        <v>39</v>
      </c>
      <c r="K532">
        <v>2521008</v>
      </c>
      <c r="L532" t="s">
        <v>1248</v>
      </c>
      <c r="M532" t="s">
        <v>1234</v>
      </c>
      <c r="N532" t="s">
        <v>963</v>
      </c>
      <c r="P532">
        <v>2521008</v>
      </c>
      <c r="Q532">
        <v>2521008</v>
      </c>
    </row>
    <row r="533" spans="1:17">
      <c r="A533" t="s">
        <v>2111</v>
      </c>
      <c r="B533" s="26">
        <v>41731</v>
      </c>
      <c r="C533" s="26">
        <v>41731</v>
      </c>
      <c r="D533" t="s">
        <v>1206</v>
      </c>
      <c r="E533" s="26"/>
      <c r="G533">
        <v>2014</v>
      </c>
      <c r="H533" t="s">
        <v>1236</v>
      </c>
      <c r="I533" t="s">
        <v>39</v>
      </c>
      <c r="J533" t="s">
        <v>39</v>
      </c>
      <c r="K533">
        <v>2521008</v>
      </c>
      <c r="L533" t="s">
        <v>1248</v>
      </c>
      <c r="M533" t="s">
        <v>1234</v>
      </c>
      <c r="N533" t="s">
        <v>963</v>
      </c>
      <c r="P533">
        <v>2521008</v>
      </c>
      <c r="Q533">
        <v>2521008</v>
      </c>
    </row>
    <row r="534" spans="1:17">
      <c r="A534" t="s">
        <v>2112</v>
      </c>
      <c r="B534" s="26">
        <v>41480</v>
      </c>
      <c r="C534" s="26">
        <v>41480</v>
      </c>
      <c r="D534" t="s">
        <v>1206</v>
      </c>
      <c r="E534" s="26"/>
      <c r="G534">
        <v>2013</v>
      </c>
      <c r="H534" t="s">
        <v>1232</v>
      </c>
      <c r="I534" t="s">
        <v>39</v>
      </c>
      <c r="J534" t="s">
        <v>39</v>
      </c>
      <c r="K534">
        <v>84034</v>
      </c>
      <c r="L534" t="s">
        <v>1270</v>
      </c>
      <c r="M534" t="s">
        <v>1234</v>
      </c>
      <c r="N534" t="s">
        <v>963</v>
      </c>
      <c r="P534">
        <v>84034</v>
      </c>
      <c r="Q534">
        <v>84034</v>
      </c>
    </row>
    <row r="535" spans="1:17">
      <c r="A535" t="s">
        <v>2113</v>
      </c>
      <c r="B535" s="26">
        <v>41074</v>
      </c>
      <c r="C535" s="26">
        <v>41074</v>
      </c>
      <c r="D535" t="s">
        <v>1206</v>
      </c>
      <c r="E535" s="26"/>
      <c r="G535">
        <v>2012</v>
      </c>
      <c r="H535" t="s">
        <v>1242</v>
      </c>
      <c r="I535" t="s">
        <v>39</v>
      </c>
      <c r="J535" t="s">
        <v>39</v>
      </c>
      <c r="K535">
        <v>168067</v>
      </c>
      <c r="L535" t="s">
        <v>1675</v>
      </c>
      <c r="M535" t="s">
        <v>1244</v>
      </c>
      <c r="N535" t="s">
        <v>963</v>
      </c>
      <c r="P535">
        <v>168067</v>
      </c>
      <c r="Q535">
        <v>168067</v>
      </c>
    </row>
    <row r="536" spans="1:17">
      <c r="A536" t="s">
        <v>2114</v>
      </c>
      <c r="B536" s="26">
        <v>41718</v>
      </c>
      <c r="C536" s="26">
        <v>41718</v>
      </c>
      <c r="D536" t="s">
        <v>1206</v>
      </c>
      <c r="E536" s="26"/>
      <c r="G536">
        <v>2014</v>
      </c>
      <c r="H536" t="s">
        <v>1236</v>
      </c>
      <c r="I536" t="s">
        <v>39</v>
      </c>
      <c r="J536" t="s">
        <v>39</v>
      </c>
      <c r="K536">
        <v>840336</v>
      </c>
      <c r="L536" t="s">
        <v>2115</v>
      </c>
      <c r="M536" t="s">
        <v>1234</v>
      </c>
      <c r="N536" t="s">
        <v>963</v>
      </c>
      <c r="P536">
        <v>840336</v>
      </c>
      <c r="Q536">
        <v>840336</v>
      </c>
    </row>
    <row r="537" spans="1:17">
      <c r="A537" t="s">
        <v>2114</v>
      </c>
      <c r="B537" s="26">
        <v>41718</v>
      </c>
      <c r="C537" s="26">
        <v>41718</v>
      </c>
      <c r="D537" t="s">
        <v>1206</v>
      </c>
      <c r="E537" s="26"/>
      <c r="G537">
        <v>2014</v>
      </c>
      <c r="H537" t="s">
        <v>1236</v>
      </c>
      <c r="I537" t="s">
        <v>39</v>
      </c>
      <c r="J537" t="s">
        <v>39</v>
      </c>
      <c r="K537">
        <v>840336</v>
      </c>
      <c r="L537" t="s">
        <v>2115</v>
      </c>
      <c r="M537" t="s">
        <v>1234</v>
      </c>
      <c r="N537" t="s">
        <v>963</v>
      </c>
      <c r="P537">
        <v>840336</v>
      </c>
      <c r="Q537">
        <v>840336</v>
      </c>
    </row>
    <row r="538" spans="1:17">
      <c r="A538" t="s">
        <v>2116</v>
      </c>
      <c r="B538" s="26">
        <v>41444</v>
      </c>
      <c r="C538" s="26">
        <v>41444</v>
      </c>
      <c r="D538" t="s">
        <v>1206</v>
      </c>
      <c r="E538" s="26"/>
      <c r="G538">
        <v>2013</v>
      </c>
      <c r="H538" t="s">
        <v>1232</v>
      </c>
      <c r="I538" t="s">
        <v>39</v>
      </c>
      <c r="J538" t="s">
        <v>39</v>
      </c>
      <c r="K538">
        <v>25210</v>
      </c>
      <c r="L538" t="s">
        <v>2094</v>
      </c>
      <c r="M538" t="s">
        <v>1234</v>
      </c>
      <c r="N538" t="s">
        <v>963</v>
      </c>
      <c r="P538">
        <v>25210</v>
      </c>
      <c r="Q538">
        <v>25210</v>
      </c>
    </row>
    <row r="539" spans="1:17">
      <c r="A539" t="s">
        <v>2117</v>
      </c>
      <c r="B539" s="26"/>
      <c r="C539" s="26"/>
      <c r="D539" t="s">
        <v>939</v>
      </c>
      <c r="E539" s="26"/>
      <c r="G539">
        <v>2020</v>
      </c>
      <c r="H539" t="s">
        <v>1330</v>
      </c>
      <c r="I539" t="s">
        <v>44</v>
      </c>
      <c r="K539">
        <v>23985</v>
      </c>
      <c r="L539" t="s">
        <v>2118</v>
      </c>
      <c r="M539" t="s">
        <v>1320</v>
      </c>
      <c r="N539" t="s">
        <v>963</v>
      </c>
      <c r="O539">
        <v>23985</v>
      </c>
      <c r="P539">
        <v>35150</v>
      </c>
      <c r="Q539">
        <v>35150</v>
      </c>
    </row>
    <row r="540" spans="1:17">
      <c r="A540" t="s">
        <v>2117</v>
      </c>
      <c r="B540" s="26"/>
      <c r="C540" s="26"/>
      <c r="D540" t="s">
        <v>939</v>
      </c>
      <c r="E540" s="26"/>
      <c r="G540">
        <v>2020</v>
      </c>
      <c r="H540" t="s">
        <v>1330</v>
      </c>
      <c r="I540" t="s">
        <v>44</v>
      </c>
      <c r="K540">
        <v>23985</v>
      </c>
      <c r="L540" t="s">
        <v>2118</v>
      </c>
      <c r="M540" t="s">
        <v>1320</v>
      </c>
      <c r="N540" t="s">
        <v>963</v>
      </c>
      <c r="O540">
        <v>23985</v>
      </c>
      <c r="P540">
        <v>35150</v>
      </c>
      <c r="Q540">
        <v>35150</v>
      </c>
    </row>
    <row r="541" spans="1:17">
      <c r="A541" t="s">
        <v>2119</v>
      </c>
      <c r="B541" s="26"/>
      <c r="C541" s="26"/>
      <c r="D541" t="s">
        <v>939</v>
      </c>
      <c r="E541" s="26"/>
      <c r="G541">
        <v>2017</v>
      </c>
      <c r="H541" t="s">
        <v>2120</v>
      </c>
      <c r="I541" t="s">
        <v>44</v>
      </c>
      <c r="K541">
        <v>53352</v>
      </c>
      <c r="L541" t="s">
        <v>1332</v>
      </c>
      <c r="M541" t="s">
        <v>1320</v>
      </c>
      <c r="N541" t="s">
        <v>963</v>
      </c>
      <c r="O541">
        <v>53352</v>
      </c>
      <c r="P541">
        <v>53352</v>
      </c>
      <c r="Q541">
        <v>53352</v>
      </c>
    </row>
    <row r="542" spans="1:17">
      <c r="A542" t="s">
        <v>2121</v>
      </c>
      <c r="B542" s="26">
        <v>44692</v>
      </c>
      <c r="C542" s="26">
        <v>44700</v>
      </c>
      <c r="D542" t="s">
        <v>939</v>
      </c>
      <c r="E542" s="26"/>
      <c r="G542">
        <v>2022</v>
      </c>
      <c r="H542" t="s">
        <v>2122</v>
      </c>
      <c r="I542" t="s">
        <v>44</v>
      </c>
      <c r="K542">
        <v>100000</v>
      </c>
      <c r="L542" t="s">
        <v>2123</v>
      </c>
      <c r="M542" t="s">
        <v>2124</v>
      </c>
      <c r="N542" t="s">
        <v>963</v>
      </c>
      <c r="O542">
        <v>100000</v>
      </c>
      <c r="P542">
        <v>100000</v>
      </c>
      <c r="Q542">
        <v>100000</v>
      </c>
    </row>
    <row r="543" spans="1:17">
      <c r="A543" t="s">
        <v>2125</v>
      </c>
      <c r="B543" s="26">
        <v>41970</v>
      </c>
      <c r="C543" s="26">
        <v>41970</v>
      </c>
      <c r="D543" t="s">
        <v>939</v>
      </c>
      <c r="E543" s="26"/>
      <c r="G543">
        <v>2014</v>
      </c>
      <c r="H543" t="s">
        <v>1326</v>
      </c>
      <c r="I543" t="s">
        <v>44</v>
      </c>
      <c r="K543">
        <v>17950</v>
      </c>
      <c r="L543" t="s">
        <v>1327</v>
      </c>
      <c r="M543" t="s">
        <v>2126</v>
      </c>
      <c r="N543" t="s">
        <v>1310</v>
      </c>
      <c r="O543">
        <v>17950</v>
      </c>
      <c r="P543">
        <v>51000</v>
      </c>
      <c r="Q543">
        <v>51000</v>
      </c>
    </row>
    <row r="544" spans="1:17">
      <c r="A544" t="s">
        <v>2125</v>
      </c>
      <c r="B544" s="26">
        <v>41970</v>
      </c>
      <c r="C544" s="26">
        <v>41970</v>
      </c>
      <c r="D544" t="s">
        <v>939</v>
      </c>
      <c r="E544" s="26"/>
      <c r="G544">
        <v>2014</v>
      </c>
      <c r="H544" t="s">
        <v>1326</v>
      </c>
      <c r="I544" t="s">
        <v>44</v>
      </c>
      <c r="K544">
        <v>17950</v>
      </c>
      <c r="L544" t="s">
        <v>1327</v>
      </c>
      <c r="M544" t="s">
        <v>2126</v>
      </c>
      <c r="N544" t="s">
        <v>1310</v>
      </c>
      <c r="O544">
        <v>17950</v>
      </c>
      <c r="P544">
        <v>51000</v>
      </c>
      <c r="Q544">
        <v>51000</v>
      </c>
    </row>
    <row r="545" spans="1:17">
      <c r="A545" t="s">
        <v>2127</v>
      </c>
      <c r="B545" s="26">
        <v>42711</v>
      </c>
      <c r="C545" s="26">
        <v>42711</v>
      </c>
      <c r="D545" t="s">
        <v>939</v>
      </c>
      <c r="E545" s="26"/>
      <c r="G545">
        <v>2015</v>
      </c>
      <c r="H545" t="s">
        <v>2128</v>
      </c>
      <c r="I545" t="s">
        <v>35</v>
      </c>
      <c r="J545" t="s">
        <v>1723</v>
      </c>
      <c r="K545">
        <v>38144</v>
      </c>
      <c r="L545" t="s">
        <v>2129</v>
      </c>
      <c r="M545" t="s">
        <v>1725</v>
      </c>
      <c r="N545" t="s">
        <v>963</v>
      </c>
      <c r="Q545">
        <v>38144</v>
      </c>
    </row>
    <row r="546" spans="1:17">
      <c r="A546" t="s">
        <v>2127</v>
      </c>
      <c r="B546" s="26">
        <v>42711</v>
      </c>
      <c r="C546" s="26">
        <v>42711</v>
      </c>
      <c r="D546" t="s">
        <v>939</v>
      </c>
      <c r="E546" s="26"/>
      <c r="G546">
        <v>2015</v>
      </c>
      <c r="H546" t="s">
        <v>2128</v>
      </c>
      <c r="I546" t="s">
        <v>35</v>
      </c>
      <c r="J546" t="s">
        <v>1723</v>
      </c>
      <c r="K546">
        <v>38144</v>
      </c>
      <c r="L546" t="s">
        <v>2129</v>
      </c>
      <c r="M546" t="s">
        <v>1725</v>
      </c>
      <c r="N546" t="s">
        <v>963</v>
      </c>
      <c r="Q546">
        <v>38144</v>
      </c>
    </row>
    <row r="547" spans="1:17">
      <c r="A547" t="s">
        <v>2127</v>
      </c>
      <c r="B547" s="26">
        <v>42711</v>
      </c>
      <c r="C547" s="26">
        <v>42711</v>
      </c>
      <c r="D547" t="s">
        <v>939</v>
      </c>
      <c r="E547" s="26"/>
      <c r="G547">
        <v>2015</v>
      </c>
      <c r="H547" t="s">
        <v>2128</v>
      </c>
      <c r="I547" t="s">
        <v>35</v>
      </c>
      <c r="J547" t="s">
        <v>1723</v>
      </c>
      <c r="K547">
        <v>6351</v>
      </c>
      <c r="L547" t="s">
        <v>2130</v>
      </c>
      <c r="M547" t="s">
        <v>1725</v>
      </c>
      <c r="N547" t="s">
        <v>963</v>
      </c>
      <c r="O547">
        <v>6351</v>
      </c>
      <c r="Q547">
        <v>38144</v>
      </c>
    </row>
    <row r="548" spans="1:17">
      <c r="A548" t="s">
        <v>2127</v>
      </c>
      <c r="B548" s="26">
        <v>42711</v>
      </c>
      <c r="C548" s="26">
        <v>42711</v>
      </c>
      <c r="D548" t="s">
        <v>939</v>
      </c>
      <c r="E548" s="26"/>
      <c r="G548">
        <v>2015</v>
      </c>
      <c r="H548" t="s">
        <v>2128</v>
      </c>
      <c r="I548" t="s">
        <v>35</v>
      </c>
      <c r="J548" t="s">
        <v>1723</v>
      </c>
      <c r="K548">
        <v>5990</v>
      </c>
      <c r="L548" t="s">
        <v>2131</v>
      </c>
      <c r="M548" t="s">
        <v>1725</v>
      </c>
      <c r="N548" t="s">
        <v>963</v>
      </c>
      <c r="O548">
        <v>5990</v>
      </c>
      <c r="Q548">
        <v>38144</v>
      </c>
    </row>
    <row r="549" spans="1:17">
      <c r="A549" t="s">
        <v>2127</v>
      </c>
      <c r="B549" s="26">
        <v>42711</v>
      </c>
      <c r="C549" s="26">
        <v>42711</v>
      </c>
      <c r="D549" t="s">
        <v>939</v>
      </c>
      <c r="E549" s="26"/>
      <c r="G549">
        <v>2015</v>
      </c>
      <c r="H549" t="s">
        <v>2128</v>
      </c>
      <c r="I549" t="s">
        <v>35</v>
      </c>
      <c r="J549" t="s">
        <v>1723</v>
      </c>
      <c r="K549">
        <v>38144</v>
      </c>
      <c r="L549" t="s">
        <v>2132</v>
      </c>
      <c r="M549" t="s">
        <v>1725</v>
      </c>
      <c r="N549" t="s">
        <v>963</v>
      </c>
      <c r="Q549">
        <v>38144</v>
      </c>
    </row>
    <row r="550" spans="1:17">
      <c r="A550" t="s">
        <v>2127</v>
      </c>
      <c r="B550" s="26">
        <v>42711</v>
      </c>
      <c r="C550" s="26">
        <v>42711</v>
      </c>
      <c r="D550" t="s">
        <v>939</v>
      </c>
      <c r="E550" s="26"/>
      <c r="G550">
        <v>2015</v>
      </c>
      <c r="H550" t="s">
        <v>2128</v>
      </c>
      <c r="I550" t="s">
        <v>35</v>
      </c>
      <c r="J550" t="s">
        <v>1723</v>
      </c>
      <c r="K550">
        <v>11244</v>
      </c>
      <c r="L550" t="s">
        <v>2129</v>
      </c>
      <c r="M550" t="s">
        <v>1725</v>
      </c>
      <c r="N550" t="s">
        <v>963</v>
      </c>
      <c r="O550">
        <v>11244</v>
      </c>
      <c r="Q550">
        <v>38144</v>
      </c>
    </row>
    <row r="551" spans="1:17">
      <c r="A551" t="s">
        <v>2127</v>
      </c>
      <c r="B551" s="26">
        <v>42711</v>
      </c>
      <c r="C551" s="26">
        <v>42711</v>
      </c>
      <c r="D551" t="s">
        <v>939</v>
      </c>
      <c r="E551" s="26"/>
      <c r="G551">
        <v>2015</v>
      </c>
      <c r="H551" t="s">
        <v>2128</v>
      </c>
      <c r="I551" t="s">
        <v>35</v>
      </c>
      <c r="J551" t="s">
        <v>1723</v>
      </c>
      <c r="K551">
        <v>38144</v>
      </c>
      <c r="L551" t="s">
        <v>2133</v>
      </c>
      <c r="M551" t="s">
        <v>1725</v>
      </c>
      <c r="N551" t="s">
        <v>963</v>
      </c>
      <c r="Q551">
        <v>38144</v>
      </c>
    </row>
    <row r="552" spans="1:17">
      <c r="A552" t="s">
        <v>2127</v>
      </c>
      <c r="B552" s="26">
        <v>42711</v>
      </c>
      <c r="C552" s="26">
        <v>42711</v>
      </c>
      <c r="D552" t="s">
        <v>939</v>
      </c>
      <c r="E552" s="26"/>
      <c r="G552">
        <v>2015</v>
      </c>
      <c r="H552" t="s">
        <v>2128</v>
      </c>
      <c r="I552" t="s">
        <v>35</v>
      </c>
      <c r="J552" t="s">
        <v>1723</v>
      </c>
      <c r="K552">
        <v>38144</v>
      </c>
      <c r="L552" t="s">
        <v>2134</v>
      </c>
      <c r="M552" t="s">
        <v>1725</v>
      </c>
      <c r="N552" t="s">
        <v>963</v>
      </c>
      <c r="Q552">
        <v>38144</v>
      </c>
    </row>
    <row r="553" spans="1:17">
      <c r="A553" t="s">
        <v>2127</v>
      </c>
      <c r="B553" s="26">
        <v>42711</v>
      </c>
      <c r="C553" s="26">
        <v>42711</v>
      </c>
      <c r="D553" t="s">
        <v>939</v>
      </c>
      <c r="E553" s="26"/>
      <c r="G553">
        <v>2015</v>
      </c>
      <c r="H553" t="s">
        <v>2128</v>
      </c>
      <c r="I553" t="s">
        <v>35</v>
      </c>
      <c r="J553" t="s">
        <v>1723</v>
      </c>
      <c r="K553">
        <v>38144</v>
      </c>
      <c r="L553" t="s">
        <v>2135</v>
      </c>
      <c r="M553" t="s">
        <v>1725</v>
      </c>
      <c r="N553" t="s">
        <v>963</v>
      </c>
      <c r="Q553">
        <v>38144</v>
      </c>
    </row>
    <row r="554" spans="1:17">
      <c r="A554" t="s">
        <v>2127</v>
      </c>
      <c r="B554" s="26">
        <v>42711</v>
      </c>
      <c r="C554" s="26">
        <v>42711</v>
      </c>
      <c r="D554" t="s">
        <v>939</v>
      </c>
      <c r="E554" s="26"/>
      <c r="G554">
        <v>2015</v>
      </c>
      <c r="H554" t="s">
        <v>2128</v>
      </c>
      <c r="I554" t="s">
        <v>35</v>
      </c>
      <c r="J554" t="s">
        <v>1723</v>
      </c>
      <c r="K554">
        <v>38144</v>
      </c>
      <c r="L554" t="s">
        <v>2136</v>
      </c>
      <c r="M554" t="s">
        <v>1725</v>
      </c>
      <c r="N554" t="s">
        <v>963</v>
      </c>
      <c r="Q554">
        <v>38144</v>
      </c>
    </row>
    <row r="555" spans="1:17">
      <c r="A555" t="s">
        <v>2127</v>
      </c>
      <c r="B555" s="26">
        <v>42711</v>
      </c>
      <c r="C555" s="26">
        <v>42711</v>
      </c>
      <c r="D555" t="s">
        <v>939</v>
      </c>
      <c r="E555" s="26"/>
      <c r="G555">
        <v>2015</v>
      </c>
      <c r="H555" t="s">
        <v>2128</v>
      </c>
      <c r="I555" t="s">
        <v>35</v>
      </c>
      <c r="J555" t="s">
        <v>1723</v>
      </c>
      <c r="K555">
        <v>14559</v>
      </c>
      <c r="L555" t="s">
        <v>2136</v>
      </c>
      <c r="M555" t="s">
        <v>1725</v>
      </c>
      <c r="N555" t="s">
        <v>963</v>
      </c>
      <c r="O555">
        <v>14559</v>
      </c>
      <c r="Q555">
        <v>38144</v>
      </c>
    </row>
    <row r="556" spans="1:17">
      <c r="A556" t="s">
        <v>2137</v>
      </c>
      <c r="B556" s="26">
        <v>41375</v>
      </c>
      <c r="C556" s="26">
        <v>41375</v>
      </c>
      <c r="D556" t="s">
        <v>939</v>
      </c>
      <c r="E556" s="26"/>
      <c r="G556">
        <v>2013</v>
      </c>
      <c r="H556" t="s">
        <v>2138</v>
      </c>
      <c r="I556" t="s">
        <v>35</v>
      </c>
      <c r="J556" t="s">
        <v>35</v>
      </c>
      <c r="K556" t="s">
        <v>953</v>
      </c>
      <c r="L556" t="s">
        <v>2139</v>
      </c>
      <c r="M556" t="s">
        <v>2140</v>
      </c>
      <c r="N556" t="s">
        <v>1088</v>
      </c>
    </row>
    <row r="557" spans="1:17">
      <c r="A557" t="s">
        <v>2141</v>
      </c>
      <c r="B557" s="26">
        <v>42424</v>
      </c>
      <c r="C557" s="26">
        <v>42424</v>
      </c>
      <c r="D557" t="s">
        <v>939</v>
      </c>
      <c r="E557" s="26"/>
      <c r="G557">
        <v>2015</v>
      </c>
      <c r="H557" t="s">
        <v>2142</v>
      </c>
      <c r="I557" t="s">
        <v>331</v>
      </c>
      <c r="K557">
        <v>1567275</v>
      </c>
      <c r="L557" t="s">
        <v>2143</v>
      </c>
      <c r="M557" t="s">
        <v>1751</v>
      </c>
      <c r="N557" t="s">
        <v>963</v>
      </c>
      <c r="P557">
        <v>1567275</v>
      </c>
    </row>
    <row r="558" spans="1:17">
      <c r="A558" t="s">
        <v>2144</v>
      </c>
      <c r="B558" s="26">
        <v>44615</v>
      </c>
      <c r="C558" s="26">
        <v>44615</v>
      </c>
      <c r="D558" t="s">
        <v>939</v>
      </c>
      <c r="E558" s="26"/>
      <c r="G558">
        <v>2021</v>
      </c>
      <c r="H558" t="s">
        <v>2145</v>
      </c>
      <c r="I558" t="s">
        <v>331</v>
      </c>
      <c r="J558" t="s">
        <v>67</v>
      </c>
      <c r="K558" t="s">
        <v>953</v>
      </c>
      <c r="L558" t="s">
        <v>2146</v>
      </c>
      <c r="M558" t="s">
        <v>1751</v>
      </c>
      <c r="N558" t="s">
        <v>963</v>
      </c>
    </row>
    <row r="559" spans="1:17">
      <c r="A559" t="s">
        <v>2147</v>
      </c>
      <c r="B559" s="26">
        <v>41010</v>
      </c>
      <c r="C559" s="26">
        <v>41111</v>
      </c>
      <c r="D559" t="s">
        <v>939</v>
      </c>
      <c r="E559" s="26"/>
      <c r="G559">
        <v>2012</v>
      </c>
      <c r="H559" t="s">
        <v>2148</v>
      </c>
      <c r="I559" t="s">
        <v>136</v>
      </c>
      <c r="K559">
        <v>466402</v>
      </c>
      <c r="M559" t="s">
        <v>2149</v>
      </c>
      <c r="N559" t="s">
        <v>963</v>
      </c>
      <c r="P559">
        <v>466402</v>
      </c>
    </row>
    <row r="560" spans="1:17">
      <c r="A560" t="s">
        <v>2150</v>
      </c>
      <c r="B560" s="26">
        <v>43285</v>
      </c>
      <c r="C560" s="26">
        <v>43357</v>
      </c>
      <c r="D560" t="s">
        <v>939</v>
      </c>
      <c r="E560" s="26"/>
      <c r="G560">
        <v>2018</v>
      </c>
      <c r="H560" t="s">
        <v>2151</v>
      </c>
      <c r="I560" t="s">
        <v>331</v>
      </c>
      <c r="J560" t="s">
        <v>1737</v>
      </c>
      <c r="K560">
        <v>877566</v>
      </c>
      <c r="L560" t="s">
        <v>2152</v>
      </c>
      <c r="M560" t="s">
        <v>1378</v>
      </c>
      <c r="N560" t="s">
        <v>963</v>
      </c>
      <c r="O560">
        <v>877566</v>
      </c>
      <c r="P560">
        <v>877566</v>
      </c>
    </row>
    <row r="561" spans="1:17">
      <c r="A561" t="s">
        <v>2153</v>
      </c>
      <c r="B561" s="26">
        <v>43780</v>
      </c>
      <c r="C561" s="26">
        <v>43780</v>
      </c>
      <c r="D561" t="s">
        <v>939</v>
      </c>
      <c r="E561" s="26"/>
      <c r="G561">
        <v>2019</v>
      </c>
      <c r="H561" t="s">
        <v>2154</v>
      </c>
      <c r="I561" t="s">
        <v>331</v>
      </c>
      <c r="K561">
        <v>819205</v>
      </c>
      <c r="L561" t="s">
        <v>2155</v>
      </c>
      <c r="M561" t="s">
        <v>1378</v>
      </c>
      <c r="N561" t="s">
        <v>963</v>
      </c>
      <c r="P561">
        <v>819205</v>
      </c>
    </row>
    <row r="562" spans="1:17">
      <c r="A562" t="s">
        <v>2153</v>
      </c>
      <c r="B562" s="26">
        <v>43780</v>
      </c>
      <c r="C562" s="26">
        <v>43780</v>
      </c>
      <c r="D562" t="s">
        <v>939</v>
      </c>
      <c r="E562" s="26"/>
      <c r="G562">
        <v>2019</v>
      </c>
      <c r="H562" t="s">
        <v>2154</v>
      </c>
      <c r="I562" t="s">
        <v>331</v>
      </c>
      <c r="K562">
        <v>819205</v>
      </c>
      <c r="L562" t="s">
        <v>1415</v>
      </c>
      <c r="M562" t="s">
        <v>1378</v>
      </c>
      <c r="N562" t="s">
        <v>963</v>
      </c>
      <c r="P562">
        <v>819205</v>
      </c>
    </row>
    <row r="563" spans="1:17">
      <c r="A563" t="s">
        <v>2156</v>
      </c>
      <c r="B563" s="26">
        <v>43417</v>
      </c>
      <c r="C563" s="26">
        <v>43517</v>
      </c>
      <c r="D563" t="s">
        <v>939</v>
      </c>
      <c r="E563" s="26"/>
      <c r="G563">
        <v>2018</v>
      </c>
      <c r="H563" t="s">
        <v>2157</v>
      </c>
      <c r="I563" t="s">
        <v>136</v>
      </c>
      <c r="J563" t="s">
        <v>156</v>
      </c>
      <c r="K563">
        <v>1608168</v>
      </c>
      <c r="L563" t="s">
        <v>2158</v>
      </c>
      <c r="M563" t="s">
        <v>1367</v>
      </c>
      <c r="N563" t="s">
        <v>963</v>
      </c>
      <c r="O563">
        <v>1608168</v>
      </c>
      <c r="P563">
        <v>1608168</v>
      </c>
    </row>
    <row r="564" spans="1:17">
      <c r="A564" t="s">
        <v>2159</v>
      </c>
      <c r="B564" s="26">
        <v>44284</v>
      </c>
      <c r="C564" s="26">
        <v>44284</v>
      </c>
      <c r="D564" t="s">
        <v>939</v>
      </c>
      <c r="E564" s="26"/>
      <c r="G564">
        <v>2020</v>
      </c>
      <c r="H564" t="s">
        <v>2160</v>
      </c>
      <c r="I564" t="s">
        <v>203</v>
      </c>
      <c r="K564" t="s">
        <v>953</v>
      </c>
      <c r="M564" t="s">
        <v>1774</v>
      </c>
    </row>
    <row r="565" spans="1:17">
      <c r="A565" t="s">
        <v>2161</v>
      </c>
      <c r="B565" s="26">
        <v>43472</v>
      </c>
      <c r="C565" s="26">
        <v>43472</v>
      </c>
      <c r="D565" t="s">
        <v>939</v>
      </c>
      <c r="E565" s="26"/>
      <c r="G565">
        <v>2018</v>
      </c>
      <c r="H565" t="s">
        <v>2162</v>
      </c>
      <c r="I565" t="s">
        <v>203</v>
      </c>
      <c r="K565" t="s">
        <v>953</v>
      </c>
      <c r="M565" t="s">
        <v>2163</v>
      </c>
    </row>
    <row r="566" spans="1:17">
      <c r="A566" t="s">
        <v>2164</v>
      </c>
      <c r="B566" s="26">
        <v>42423</v>
      </c>
      <c r="C566" s="26">
        <v>42956</v>
      </c>
      <c r="D566" t="s">
        <v>1206</v>
      </c>
      <c r="E566" s="26"/>
      <c r="G566">
        <v>2014</v>
      </c>
      <c r="H566" t="s">
        <v>2165</v>
      </c>
      <c r="I566" t="s">
        <v>33</v>
      </c>
      <c r="J566" t="s">
        <v>35</v>
      </c>
      <c r="K566">
        <v>20000000</v>
      </c>
      <c r="L566" t="s">
        <v>45</v>
      </c>
      <c r="M566" t="s">
        <v>1778</v>
      </c>
      <c r="N566" t="s">
        <v>1210</v>
      </c>
      <c r="P566">
        <v>20000000</v>
      </c>
      <c r="Q566">
        <v>30000000</v>
      </c>
    </row>
    <row r="567" spans="1:17">
      <c r="A567" t="s">
        <v>2166</v>
      </c>
      <c r="B567" s="26">
        <v>41340</v>
      </c>
      <c r="C567" s="26">
        <v>41340</v>
      </c>
      <c r="D567" t="s">
        <v>939</v>
      </c>
      <c r="E567" s="26"/>
      <c r="G567">
        <v>2012</v>
      </c>
      <c r="H567" t="s">
        <v>2167</v>
      </c>
      <c r="I567" t="s">
        <v>33</v>
      </c>
      <c r="J567" t="s">
        <v>35</v>
      </c>
      <c r="K567">
        <v>4478607</v>
      </c>
      <c r="L567" t="s">
        <v>2168</v>
      </c>
      <c r="M567" t="s">
        <v>1409</v>
      </c>
      <c r="N567" t="s">
        <v>1210</v>
      </c>
      <c r="O567">
        <v>4478607</v>
      </c>
      <c r="P567">
        <v>4478607</v>
      </c>
      <c r="Q567">
        <v>3000000</v>
      </c>
    </row>
    <row r="568" spans="1:17">
      <c r="A568" t="s">
        <v>2169</v>
      </c>
      <c r="B568" s="26">
        <v>41055</v>
      </c>
      <c r="C568" s="26">
        <v>41055</v>
      </c>
      <c r="D568" t="s">
        <v>939</v>
      </c>
      <c r="E568" s="26"/>
      <c r="G568">
        <v>2012</v>
      </c>
      <c r="H568" t="s">
        <v>2170</v>
      </c>
      <c r="I568" t="s">
        <v>41</v>
      </c>
      <c r="J568" t="s">
        <v>33</v>
      </c>
      <c r="K568" t="s">
        <v>953</v>
      </c>
      <c r="L568" t="s">
        <v>2171</v>
      </c>
      <c r="M568" t="s">
        <v>2172</v>
      </c>
      <c r="N568" t="s">
        <v>963</v>
      </c>
    </row>
    <row r="569" spans="1:17">
      <c r="A569" t="s">
        <v>2173</v>
      </c>
      <c r="B569" s="26">
        <v>43724</v>
      </c>
      <c r="C569" s="26">
        <v>43724</v>
      </c>
      <c r="D569" t="s">
        <v>939</v>
      </c>
      <c r="E569" s="26"/>
      <c r="G569">
        <v>2018</v>
      </c>
      <c r="H569" t="s">
        <v>2174</v>
      </c>
      <c r="I569" t="s">
        <v>33</v>
      </c>
      <c r="J569" t="s">
        <v>47</v>
      </c>
      <c r="K569">
        <v>20100000</v>
      </c>
      <c r="L569" t="s">
        <v>2175</v>
      </c>
      <c r="M569" t="s">
        <v>1405</v>
      </c>
      <c r="N569" t="s">
        <v>1210</v>
      </c>
      <c r="O569">
        <v>20100000</v>
      </c>
      <c r="P569">
        <v>66000000</v>
      </c>
      <c r="Q569">
        <v>66500000</v>
      </c>
    </row>
    <row r="570" spans="1:17">
      <c r="A570" t="s">
        <v>2176</v>
      </c>
      <c r="B570" s="26">
        <v>44068</v>
      </c>
      <c r="C570" s="26">
        <v>44068</v>
      </c>
      <c r="D570" t="s">
        <v>939</v>
      </c>
      <c r="E570" s="26">
        <v>44068</v>
      </c>
      <c r="G570">
        <v>2020</v>
      </c>
      <c r="H570" t="s">
        <v>2177</v>
      </c>
      <c r="I570" t="s">
        <v>75</v>
      </c>
      <c r="J570" t="s">
        <v>75</v>
      </c>
      <c r="K570" t="s">
        <v>2178</v>
      </c>
      <c r="L570" t="s">
        <v>967</v>
      </c>
      <c r="M570" t="s">
        <v>943</v>
      </c>
      <c r="N570" t="s">
        <v>944</v>
      </c>
      <c r="O570" t="s">
        <v>2178</v>
      </c>
    </row>
    <row r="571" spans="1:17">
      <c r="A571" t="s">
        <v>2179</v>
      </c>
      <c r="B571" s="26">
        <v>42549</v>
      </c>
      <c r="C571" s="26">
        <v>42549</v>
      </c>
      <c r="D571" t="s">
        <v>939</v>
      </c>
      <c r="E571" s="26">
        <v>42550</v>
      </c>
      <c r="G571">
        <v>2016</v>
      </c>
      <c r="H571" t="s">
        <v>2180</v>
      </c>
      <c r="I571" t="s">
        <v>75</v>
      </c>
      <c r="J571" t="s">
        <v>75</v>
      </c>
      <c r="K571" t="s">
        <v>953</v>
      </c>
      <c r="L571" t="s">
        <v>942</v>
      </c>
      <c r="M571" t="s">
        <v>943</v>
      </c>
      <c r="N571" t="s">
        <v>944</v>
      </c>
    </row>
    <row r="572" spans="1:17">
      <c r="A572" t="s">
        <v>2181</v>
      </c>
      <c r="B572" s="26">
        <v>41787</v>
      </c>
      <c r="C572" s="26">
        <v>41787</v>
      </c>
      <c r="D572" t="s">
        <v>939</v>
      </c>
      <c r="E572" s="26">
        <v>41788</v>
      </c>
      <c r="G572">
        <v>2014</v>
      </c>
      <c r="H572" t="s">
        <v>2182</v>
      </c>
      <c r="I572" t="s">
        <v>75</v>
      </c>
      <c r="J572" t="s">
        <v>75</v>
      </c>
      <c r="K572" t="s">
        <v>953</v>
      </c>
      <c r="L572" t="s">
        <v>942</v>
      </c>
      <c r="M572" t="s">
        <v>943</v>
      </c>
      <c r="N572" t="s">
        <v>944</v>
      </c>
    </row>
    <row r="573" spans="1:17">
      <c r="A573" t="s">
        <v>2183</v>
      </c>
      <c r="B573" s="26">
        <v>42384</v>
      </c>
      <c r="C573" s="26">
        <v>42384</v>
      </c>
      <c r="D573" t="s">
        <v>939</v>
      </c>
      <c r="E573" s="26">
        <v>42384</v>
      </c>
      <c r="G573">
        <v>2016</v>
      </c>
      <c r="H573" t="s">
        <v>1487</v>
      </c>
      <c r="I573" t="s">
        <v>75</v>
      </c>
      <c r="J573" t="s">
        <v>75</v>
      </c>
      <c r="K573" t="s">
        <v>953</v>
      </c>
      <c r="L573" t="s">
        <v>942</v>
      </c>
      <c r="M573" t="s">
        <v>968</v>
      </c>
    </row>
    <row r="574" spans="1:17">
      <c r="A574" t="s">
        <v>2184</v>
      </c>
      <c r="B574" s="26">
        <v>42549</v>
      </c>
      <c r="C574" s="26">
        <v>42549</v>
      </c>
      <c r="D574" t="s">
        <v>939</v>
      </c>
      <c r="E574" s="26">
        <v>42550</v>
      </c>
      <c r="G574">
        <v>2016</v>
      </c>
      <c r="H574" t="s">
        <v>2185</v>
      </c>
      <c r="I574" t="s">
        <v>75</v>
      </c>
      <c r="J574" t="s">
        <v>75</v>
      </c>
      <c r="K574" t="s">
        <v>953</v>
      </c>
      <c r="L574" t="s">
        <v>942</v>
      </c>
      <c r="M574" t="s">
        <v>943</v>
      </c>
      <c r="N574" t="s">
        <v>944</v>
      </c>
    </row>
    <row r="575" spans="1:17">
      <c r="A575" t="s">
        <v>2186</v>
      </c>
      <c r="B575" s="26">
        <v>41787</v>
      </c>
      <c r="C575" s="26">
        <v>41787</v>
      </c>
      <c r="D575" t="s">
        <v>939</v>
      </c>
      <c r="E575" s="26">
        <v>41788</v>
      </c>
      <c r="G575">
        <v>2014</v>
      </c>
      <c r="H575" t="s">
        <v>2187</v>
      </c>
      <c r="I575" t="s">
        <v>75</v>
      </c>
      <c r="J575" t="s">
        <v>75</v>
      </c>
      <c r="K575" t="s">
        <v>953</v>
      </c>
      <c r="L575" t="s">
        <v>942</v>
      </c>
      <c r="M575" t="s">
        <v>943</v>
      </c>
      <c r="N575" t="s">
        <v>944</v>
      </c>
    </row>
    <row r="576" spans="1:17">
      <c r="A576" t="s">
        <v>2188</v>
      </c>
      <c r="B576" s="26">
        <v>42677</v>
      </c>
      <c r="C576" s="26">
        <v>42677</v>
      </c>
      <c r="D576" t="s">
        <v>939</v>
      </c>
      <c r="E576" s="26">
        <v>42681</v>
      </c>
      <c r="G576">
        <v>2016</v>
      </c>
      <c r="H576" t="s">
        <v>2189</v>
      </c>
      <c r="I576" t="s">
        <v>75</v>
      </c>
      <c r="J576" t="s">
        <v>75</v>
      </c>
      <c r="K576" t="s">
        <v>953</v>
      </c>
      <c r="L576" t="s">
        <v>948</v>
      </c>
      <c r="M576" t="s">
        <v>943</v>
      </c>
      <c r="N576" t="s">
        <v>944</v>
      </c>
    </row>
    <row r="577" spans="1:15">
      <c r="A577" t="s">
        <v>2190</v>
      </c>
      <c r="B577" s="26">
        <v>44068</v>
      </c>
      <c r="C577" s="26">
        <v>44068</v>
      </c>
      <c r="D577" t="s">
        <v>939</v>
      </c>
      <c r="E577" s="26">
        <v>44068</v>
      </c>
      <c r="G577">
        <v>2020</v>
      </c>
      <c r="H577" t="s">
        <v>2191</v>
      </c>
      <c r="I577" t="s">
        <v>75</v>
      </c>
      <c r="J577" t="s">
        <v>75</v>
      </c>
      <c r="K577" t="s">
        <v>2192</v>
      </c>
      <c r="L577" t="s">
        <v>967</v>
      </c>
      <c r="M577" t="s">
        <v>943</v>
      </c>
      <c r="N577" t="s">
        <v>944</v>
      </c>
      <c r="O577" t="s">
        <v>2192</v>
      </c>
    </row>
    <row r="578" spans="1:15">
      <c r="A578" t="s">
        <v>2193</v>
      </c>
      <c r="B578" s="26">
        <v>42465</v>
      </c>
      <c r="C578" s="26">
        <v>42465</v>
      </c>
      <c r="D578" t="s">
        <v>939</v>
      </c>
      <c r="E578" s="26">
        <v>42466</v>
      </c>
      <c r="G578">
        <v>2016</v>
      </c>
      <c r="H578" t="s">
        <v>1449</v>
      </c>
      <c r="I578" t="s">
        <v>75</v>
      </c>
      <c r="J578" t="s">
        <v>75</v>
      </c>
      <c r="K578" t="s">
        <v>1450</v>
      </c>
      <c r="L578" t="s">
        <v>942</v>
      </c>
      <c r="M578" t="s">
        <v>1036</v>
      </c>
      <c r="N578" t="s">
        <v>963</v>
      </c>
      <c r="O578" t="s">
        <v>1450</v>
      </c>
    </row>
    <row r="579" spans="1:15">
      <c r="A579" t="s">
        <v>2194</v>
      </c>
      <c r="B579" s="26">
        <v>42549</v>
      </c>
      <c r="C579" s="26">
        <v>42549</v>
      </c>
      <c r="D579" t="s">
        <v>939</v>
      </c>
      <c r="E579" s="26">
        <v>42550</v>
      </c>
      <c r="G579">
        <v>2016</v>
      </c>
      <c r="H579" t="s">
        <v>2195</v>
      </c>
      <c r="I579" t="s">
        <v>75</v>
      </c>
      <c r="J579" t="s">
        <v>75</v>
      </c>
      <c r="K579" t="s">
        <v>953</v>
      </c>
      <c r="L579" t="s">
        <v>942</v>
      </c>
      <c r="M579" t="s">
        <v>943</v>
      </c>
      <c r="N579" t="s">
        <v>944</v>
      </c>
    </row>
    <row r="580" spans="1:15">
      <c r="A580" t="s">
        <v>2196</v>
      </c>
      <c r="B580" s="26">
        <v>42550</v>
      </c>
      <c r="C580" s="26">
        <v>42550</v>
      </c>
      <c r="D580" t="s">
        <v>939</v>
      </c>
      <c r="E580" s="26">
        <v>42550</v>
      </c>
      <c r="G580">
        <v>2016</v>
      </c>
      <c r="H580" t="s">
        <v>1507</v>
      </c>
      <c r="I580" t="s">
        <v>75</v>
      </c>
      <c r="J580" t="s">
        <v>75</v>
      </c>
      <c r="K580" t="s">
        <v>953</v>
      </c>
      <c r="L580" t="s">
        <v>942</v>
      </c>
      <c r="M580" t="s">
        <v>943</v>
      </c>
      <c r="N580" t="s">
        <v>944</v>
      </c>
    </row>
    <row r="581" spans="1:15">
      <c r="A581" t="s">
        <v>2197</v>
      </c>
      <c r="B581" s="26">
        <v>44068</v>
      </c>
      <c r="C581" s="26">
        <v>44068</v>
      </c>
      <c r="D581" t="s">
        <v>939</v>
      </c>
      <c r="E581" s="26">
        <v>44068</v>
      </c>
      <c r="G581">
        <v>2020</v>
      </c>
      <c r="H581" t="s">
        <v>2198</v>
      </c>
      <c r="I581" t="s">
        <v>75</v>
      </c>
      <c r="J581" t="s">
        <v>75</v>
      </c>
      <c r="K581" t="s">
        <v>1109</v>
      </c>
      <c r="L581" t="s">
        <v>967</v>
      </c>
      <c r="M581" t="s">
        <v>943</v>
      </c>
      <c r="N581" t="s">
        <v>944</v>
      </c>
      <c r="O581" t="s">
        <v>1109</v>
      </c>
    </row>
    <row r="582" spans="1:15">
      <c r="A582" t="s">
        <v>2199</v>
      </c>
      <c r="B582" s="26">
        <v>44075</v>
      </c>
      <c r="C582" s="26">
        <v>44075</v>
      </c>
      <c r="D582" t="s">
        <v>939</v>
      </c>
      <c r="E582" s="26">
        <v>44075</v>
      </c>
      <c r="G582">
        <v>2020</v>
      </c>
      <c r="H582" t="s">
        <v>2200</v>
      </c>
      <c r="I582" t="s">
        <v>75</v>
      </c>
      <c r="J582" t="s">
        <v>75</v>
      </c>
      <c r="K582" t="s">
        <v>2201</v>
      </c>
      <c r="L582" t="s">
        <v>1906</v>
      </c>
      <c r="M582" t="s">
        <v>968</v>
      </c>
      <c r="O582" t="s">
        <v>2201</v>
      </c>
    </row>
    <row r="583" spans="1:15">
      <c r="A583" t="s">
        <v>2202</v>
      </c>
      <c r="B583" s="26">
        <v>43447</v>
      </c>
      <c r="C583" s="26">
        <v>43447</v>
      </c>
      <c r="D583" t="s">
        <v>939</v>
      </c>
      <c r="E583" s="26">
        <v>43447</v>
      </c>
      <c r="G583">
        <v>2018</v>
      </c>
      <c r="H583" t="s">
        <v>2203</v>
      </c>
      <c r="I583" t="s">
        <v>75</v>
      </c>
      <c r="J583" t="s">
        <v>75</v>
      </c>
      <c r="K583" t="s">
        <v>953</v>
      </c>
      <c r="L583" t="s">
        <v>948</v>
      </c>
      <c r="M583" t="s">
        <v>943</v>
      </c>
      <c r="N583" t="s">
        <v>944</v>
      </c>
    </row>
    <row r="584" spans="1:15">
      <c r="A584" t="s">
        <v>2204</v>
      </c>
      <c r="B584" s="26">
        <v>42549</v>
      </c>
      <c r="C584" s="26">
        <v>42549</v>
      </c>
      <c r="D584" t="s">
        <v>939</v>
      </c>
      <c r="E584" s="26">
        <v>42550</v>
      </c>
      <c r="G584">
        <v>2016</v>
      </c>
      <c r="H584" t="s">
        <v>2205</v>
      </c>
      <c r="I584" t="s">
        <v>75</v>
      </c>
      <c r="J584" t="s">
        <v>75</v>
      </c>
      <c r="K584" t="s">
        <v>2206</v>
      </c>
      <c r="L584" t="s">
        <v>942</v>
      </c>
      <c r="M584" t="s">
        <v>943</v>
      </c>
      <c r="N584" t="s">
        <v>944</v>
      </c>
      <c r="O584" t="s">
        <v>2206</v>
      </c>
    </row>
    <row r="585" spans="1:15">
      <c r="A585" t="s">
        <v>2207</v>
      </c>
      <c r="B585" s="26">
        <v>44067</v>
      </c>
      <c r="C585" s="26">
        <v>44067</v>
      </c>
      <c r="D585" t="s">
        <v>939</v>
      </c>
      <c r="E585" s="26">
        <v>44067</v>
      </c>
      <c r="G585">
        <v>2020</v>
      </c>
      <c r="H585" t="s">
        <v>2208</v>
      </c>
      <c r="I585" t="s">
        <v>75</v>
      </c>
      <c r="J585" t="s">
        <v>75</v>
      </c>
      <c r="K585" t="s">
        <v>2209</v>
      </c>
      <c r="L585" t="s">
        <v>967</v>
      </c>
      <c r="M585" t="s">
        <v>968</v>
      </c>
      <c r="O585" t="s">
        <v>2209</v>
      </c>
    </row>
    <row r="586" spans="1:15">
      <c r="A586" t="s">
        <v>2210</v>
      </c>
      <c r="B586" s="26">
        <v>42549</v>
      </c>
      <c r="C586" s="26">
        <v>42549</v>
      </c>
      <c r="D586" t="s">
        <v>939</v>
      </c>
      <c r="E586" s="26">
        <v>42550</v>
      </c>
      <c r="G586">
        <v>2016</v>
      </c>
      <c r="H586" t="s">
        <v>1997</v>
      </c>
      <c r="I586" t="s">
        <v>75</v>
      </c>
      <c r="J586" t="s">
        <v>75</v>
      </c>
      <c r="K586" t="s">
        <v>953</v>
      </c>
      <c r="L586" t="s">
        <v>942</v>
      </c>
      <c r="M586" t="s">
        <v>943</v>
      </c>
      <c r="N586" t="s">
        <v>944</v>
      </c>
    </row>
    <row r="587" spans="1:15">
      <c r="A587" t="s">
        <v>2211</v>
      </c>
      <c r="B587" s="26">
        <v>42346</v>
      </c>
      <c r="C587" s="26">
        <v>42346</v>
      </c>
      <c r="D587" t="s">
        <v>939</v>
      </c>
      <c r="E587" s="26">
        <v>42346</v>
      </c>
      <c r="G587">
        <v>2015</v>
      </c>
      <c r="H587" t="s">
        <v>1177</v>
      </c>
      <c r="I587" t="s">
        <v>75</v>
      </c>
      <c r="J587" t="s">
        <v>75</v>
      </c>
      <c r="K587" t="s">
        <v>1991</v>
      </c>
      <c r="L587" t="s">
        <v>942</v>
      </c>
      <c r="M587" t="s">
        <v>943</v>
      </c>
      <c r="N587" t="s">
        <v>944</v>
      </c>
      <c r="O587" t="s">
        <v>1991</v>
      </c>
    </row>
    <row r="588" spans="1:15">
      <c r="A588" t="s">
        <v>2212</v>
      </c>
      <c r="B588" s="26">
        <v>44068</v>
      </c>
      <c r="C588" s="26">
        <v>44068</v>
      </c>
      <c r="D588" t="s">
        <v>939</v>
      </c>
      <c r="E588" s="26">
        <v>44068</v>
      </c>
      <c r="G588">
        <v>2020</v>
      </c>
      <c r="H588" t="s">
        <v>2213</v>
      </c>
      <c r="I588" t="s">
        <v>75</v>
      </c>
      <c r="J588" t="s">
        <v>75</v>
      </c>
      <c r="K588" t="s">
        <v>2214</v>
      </c>
      <c r="L588" t="s">
        <v>967</v>
      </c>
      <c r="M588" t="s">
        <v>943</v>
      </c>
      <c r="N588" t="s">
        <v>944</v>
      </c>
      <c r="O588" t="s">
        <v>2214</v>
      </c>
    </row>
    <row r="589" spans="1:15">
      <c r="A589" t="s">
        <v>2215</v>
      </c>
      <c r="B589" s="26">
        <v>44068</v>
      </c>
      <c r="C589" s="26">
        <v>44068</v>
      </c>
      <c r="D589" t="s">
        <v>939</v>
      </c>
      <c r="E589" s="26">
        <v>44068</v>
      </c>
      <c r="G589">
        <v>2020</v>
      </c>
      <c r="H589" t="s">
        <v>2216</v>
      </c>
      <c r="I589" t="s">
        <v>75</v>
      </c>
      <c r="J589" t="s">
        <v>75</v>
      </c>
      <c r="K589" t="s">
        <v>953</v>
      </c>
      <c r="L589" t="s">
        <v>967</v>
      </c>
      <c r="M589" t="s">
        <v>943</v>
      </c>
      <c r="N589" t="s">
        <v>944</v>
      </c>
    </row>
    <row r="590" spans="1:15">
      <c r="A590" t="s">
        <v>2217</v>
      </c>
      <c r="B590" s="26">
        <v>42230</v>
      </c>
      <c r="C590" s="26">
        <v>42230</v>
      </c>
      <c r="D590" t="s">
        <v>939</v>
      </c>
      <c r="E590" s="26">
        <v>42230</v>
      </c>
      <c r="G590">
        <v>2015</v>
      </c>
      <c r="H590" t="s">
        <v>2218</v>
      </c>
      <c r="I590" t="s">
        <v>75</v>
      </c>
      <c r="J590" t="s">
        <v>75</v>
      </c>
      <c r="K590" t="s">
        <v>2219</v>
      </c>
      <c r="L590" t="s">
        <v>942</v>
      </c>
      <c r="M590" t="s">
        <v>968</v>
      </c>
      <c r="O590" t="s">
        <v>2219</v>
      </c>
    </row>
    <row r="591" spans="1:15">
      <c r="A591" t="s">
        <v>2220</v>
      </c>
      <c r="B591" s="26">
        <v>42345</v>
      </c>
      <c r="C591" s="26">
        <v>42345</v>
      </c>
      <c r="D591" t="s">
        <v>939</v>
      </c>
      <c r="E591" s="26">
        <v>42346</v>
      </c>
      <c r="G591">
        <v>2015</v>
      </c>
      <c r="H591" t="s">
        <v>2221</v>
      </c>
      <c r="I591" t="s">
        <v>75</v>
      </c>
      <c r="J591" t="s">
        <v>75</v>
      </c>
      <c r="K591" t="s">
        <v>2222</v>
      </c>
      <c r="L591" t="s">
        <v>942</v>
      </c>
      <c r="M591" t="s">
        <v>943</v>
      </c>
      <c r="N591" t="s">
        <v>944</v>
      </c>
      <c r="O591" t="s">
        <v>2222</v>
      </c>
    </row>
    <row r="592" spans="1:15">
      <c r="A592" t="s">
        <v>2223</v>
      </c>
      <c r="B592" s="26">
        <v>43447</v>
      </c>
      <c r="C592" s="26">
        <v>43447</v>
      </c>
      <c r="D592" t="s">
        <v>939</v>
      </c>
      <c r="E592" s="26">
        <v>43447</v>
      </c>
      <c r="G592">
        <v>2018</v>
      </c>
      <c r="H592" t="s">
        <v>2224</v>
      </c>
      <c r="I592" t="s">
        <v>75</v>
      </c>
      <c r="J592" t="s">
        <v>75</v>
      </c>
      <c r="K592" t="s">
        <v>953</v>
      </c>
      <c r="L592" t="s">
        <v>948</v>
      </c>
      <c r="M592" t="s">
        <v>943</v>
      </c>
      <c r="N592" t="s">
        <v>944</v>
      </c>
    </row>
    <row r="593" spans="1:15">
      <c r="A593" t="s">
        <v>2225</v>
      </c>
      <c r="B593" s="26">
        <v>42549</v>
      </c>
      <c r="C593" s="26">
        <v>42549</v>
      </c>
      <c r="D593" t="s">
        <v>939</v>
      </c>
      <c r="E593" s="26">
        <v>42550</v>
      </c>
      <c r="G593">
        <v>2016</v>
      </c>
      <c r="H593" t="s">
        <v>1485</v>
      </c>
      <c r="I593" t="s">
        <v>75</v>
      </c>
      <c r="J593" t="s">
        <v>75</v>
      </c>
      <c r="K593" t="s">
        <v>953</v>
      </c>
      <c r="L593" t="s">
        <v>942</v>
      </c>
      <c r="M593" t="s">
        <v>943</v>
      </c>
      <c r="N593" t="s">
        <v>944</v>
      </c>
    </row>
    <row r="594" spans="1:15">
      <c r="A594" t="s">
        <v>2226</v>
      </c>
      <c r="B594" s="26">
        <v>44068</v>
      </c>
      <c r="C594" s="26">
        <v>44068</v>
      </c>
      <c r="D594" t="s">
        <v>939</v>
      </c>
      <c r="E594" s="26">
        <v>44068</v>
      </c>
      <c r="G594">
        <v>2020</v>
      </c>
      <c r="H594" t="s">
        <v>2227</v>
      </c>
      <c r="I594" t="s">
        <v>75</v>
      </c>
      <c r="J594" t="s">
        <v>75</v>
      </c>
      <c r="K594" t="s">
        <v>2228</v>
      </c>
      <c r="L594" t="s">
        <v>967</v>
      </c>
      <c r="M594" t="s">
        <v>943</v>
      </c>
      <c r="N594" t="s">
        <v>944</v>
      </c>
      <c r="O594" t="s">
        <v>2228</v>
      </c>
    </row>
    <row r="595" spans="1:15">
      <c r="A595" t="s">
        <v>2229</v>
      </c>
      <c r="B595" s="26">
        <v>44068</v>
      </c>
      <c r="C595" s="26">
        <v>44068</v>
      </c>
      <c r="D595" t="s">
        <v>939</v>
      </c>
      <c r="E595" s="26">
        <v>44068</v>
      </c>
      <c r="G595">
        <v>2020</v>
      </c>
      <c r="H595" t="s">
        <v>2230</v>
      </c>
      <c r="I595" t="s">
        <v>75</v>
      </c>
      <c r="J595" t="s">
        <v>75</v>
      </c>
      <c r="K595" t="s">
        <v>2231</v>
      </c>
      <c r="L595" t="s">
        <v>967</v>
      </c>
      <c r="M595" t="s">
        <v>943</v>
      </c>
      <c r="N595" t="s">
        <v>944</v>
      </c>
      <c r="O595" t="s">
        <v>2231</v>
      </c>
    </row>
    <row r="596" spans="1:15">
      <c r="A596" t="s">
        <v>2232</v>
      </c>
      <c r="B596" s="26">
        <v>41787</v>
      </c>
      <c r="C596" s="26">
        <v>41787</v>
      </c>
      <c r="D596" t="s">
        <v>939</v>
      </c>
      <c r="E596" s="26">
        <v>41788</v>
      </c>
      <c r="G596">
        <v>2014</v>
      </c>
      <c r="H596" t="s">
        <v>2233</v>
      </c>
      <c r="I596" t="s">
        <v>75</v>
      </c>
      <c r="J596" t="s">
        <v>75</v>
      </c>
      <c r="K596" t="s">
        <v>953</v>
      </c>
      <c r="L596" t="s">
        <v>942</v>
      </c>
      <c r="M596" t="s">
        <v>943</v>
      </c>
      <c r="N596" t="s">
        <v>944</v>
      </c>
    </row>
    <row r="597" spans="1:15">
      <c r="A597" t="s">
        <v>2234</v>
      </c>
      <c r="B597" s="26">
        <v>44068</v>
      </c>
      <c r="C597" s="26">
        <v>44068</v>
      </c>
      <c r="D597" t="s">
        <v>939</v>
      </c>
      <c r="E597" s="26">
        <v>44068</v>
      </c>
      <c r="G597">
        <v>2020</v>
      </c>
      <c r="H597" t="s">
        <v>1144</v>
      </c>
      <c r="I597" t="s">
        <v>75</v>
      </c>
      <c r="J597" t="s">
        <v>75</v>
      </c>
      <c r="K597" t="s">
        <v>953</v>
      </c>
      <c r="L597" t="s">
        <v>967</v>
      </c>
      <c r="M597" t="s">
        <v>943</v>
      </c>
      <c r="N597" t="s">
        <v>944</v>
      </c>
    </row>
    <row r="598" spans="1:15">
      <c r="A598" t="s">
        <v>2235</v>
      </c>
      <c r="B598" s="26">
        <v>42549</v>
      </c>
      <c r="C598" s="26">
        <v>42549</v>
      </c>
      <c r="D598" t="s">
        <v>939</v>
      </c>
      <c r="E598" s="26">
        <v>42550</v>
      </c>
      <c r="G598">
        <v>2016</v>
      </c>
      <c r="H598" t="s">
        <v>2205</v>
      </c>
      <c r="I598" t="s">
        <v>75</v>
      </c>
      <c r="J598" t="s">
        <v>75</v>
      </c>
      <c r="K598" t="s">
        <v>2206</v>
      </c>
      <c r="L598" t="s">
        <v>942</v>
      </c>
      <c r="M598" t="s">
        <v>943</v>
      </c>
      <c r="N598" t="s">
        <v>944</v>
      </c>
      <c r="O598" t="s">
        <v>2206</v>
      </c>
    </row>
    <row r="599" spans="1:15">
      <c r="A599" t="s">
        <v>2236</v>
      </c>
      <c r="B599" s="26">
        <v>42549</v>
      </c>
      <c r="C599" s="26">
        <v>42549</v>
      </c>
      <c r="D599" t="s">
        <v>939</v>
      </c>
      <c r="E599" s="26">
        <v>42550</v>
      </c>
      <c r="G599">
        <v>2016</v>
      </c>
      <c r="H599" t="s">
        <v>1565</v>
      </c>
      <c r="I599" t="s">
        <v>75</v>
      </c>
      <c r="J599" t="s">
        <v>75</v>
      </c>
      <c r="K599" t="s">
        <v>953</v>
      </c>
      <c r="L599" t="s">
        <v>942</v>
      </c>
      <c r="M599" t="s">
        <v>943</v>
      </c>
      <c r="N599" t="s">
        <v>944</v>
      </c>
    </row>
    <row r="600" spans="1:15">
      <c r="A600" t="s">
        <v>2237</v>
      </c>
      <c r="B600" s="26">
        <v>42550</v>
      </c>
      <c r="C600" s="26">
        <v>42550</v>
      </c>
      <c r="D600" t="s">
        <v>939</v>
      </c>
      <c r="E600" s="26">
        <v>42550</v>
      </c>
      <c r="G600">
        <v>2016</v>
      </c>
      <c r="H600" t="s">
        <v>1605</v>
      </c>
      <c r="I600" t="s">
        <v>75</v>
      </c>
      <c r="J600" t="s">
        <v>75</v>
      </c>
      <c r="K600" t="s">
        <v>1606</v>
      </c>
      <c r="L600" t="s">
        <v>942</v>
      </c>
      <c r="M600" t="s">
        <v>968</v>
      </c>
      <c r="O600" t="s">
        <v>1606</v>
      </c>
    </row>
    <row r="601" spans="1:15">
      <c r="A601" t="s">
        <v>2238</v>
      </c>
      <c r="B601" s="26">
        <v>42549</v>
      </c>
      <c r="C601" s="26">
        <v>42549</v>
      </c>
      <c r="D601" t="s">
        <v>939</v>
      </c>
      <c r="E601" s="26">
        <v>42550</v>
      </c>
      <c r="G601">
        <v>2016</v>
      </c>
      <c r="H601" t="s">
        <v>2177</v>
      </c>
      <c r="I601" t="s">
        <v>75</v>
      </c>
      <c r="J601" t="s">
        <v>75</v>
      </c>
      <c r="K601" t="s">
        <v>2239</v>
      </c>
      <c r="L601" t="s">
        <v>942</v>
      </c>
      <c r="M601" t="s">
        <v>943</v>
      </c>
      <c r="N601" t="s">
        <v>944</v>
      </c>
      <c r="O601" t="s">
        <v>2239</v>
      </c>
    </row>
    <row r="602" spans="1:15">
      <c r="A602" t="s">
        <v>2240</v>
      </c>
      <c r="B602" s="26">
        <v>42346</v>
      </c>
      <c r="C602" s="26">
        <v>42346</v>
      </c>
      <c r="D602" t="s">
        <v>939</v>
      </c>
      <c r="E602" s="26">
        <v>42346</v>
      </c>
      <c r="G602">
        <v>2015</v>
      </c>
      <c r="H602" t="s">
        <v>2241</v>
      </c>
      <c r="I602" t="s">
        <v>75</v>
      </c>
      <c r="J602" t="s">
        <v>75</v>
      </c>
      <c r="K602" t="s">
        <v>2242</v>
      </c>
      <c r="L602" t="s">
        <v>942</v>
      </c>
      <c r="M602" t="s">
        <v>943</v>
      </c>
      <c r="N602" t="s">
        <v>944</v>
      </c>
      <c r="O602" t="s">
        <v>2242</v>
      </c>
    </row>
    <row r="603" spans="1:15">
      <c r="A603" t="s">
        <v>2243</v>
      </c>
      <c r="B603" s="26">
        <v>41787</v>
      </c>
      <c r="C603" s="26">
        <v>41787</v>
      </c>
      <c r="D603" t="s">
        <v>939</v>
      </c>
      <c r="E603" s="26">
        <v>41788</v>
      </c>
      <c r="G603">
        <v>2014</v>
      </c>
      <c r="H603" t="s">
        <v>2244</v>
      </c>
      <c r="I603" t="s">
        <v>75</v>
      </c>
      <c r="J603" t="s">
        <v>75</v>
      </c>
      <c r="K603" t="s">
        <v>2245</v>
      </c>
      <c r="L603" t="s">
        <v>942</v>
      </c>
      <c r="M603" t="s">
        <v>943</v>
      </c>
      <c r="N603" t="s">
        <v>944</v>
      </c>
      <c r="O603" t="s">
        <v>2245</v>
      </c>
    </row>
    <row r="604" spans="1:15">
      <c r="A604" t="s">
        <v>2246</v>
      </c>
      <c r="B604" s="26">
        <v>42346</v>
      </c>
      <c r="C604" s="26">
        <v>42346</v>
      </c>
      <c r="D604" t="s">
        <v>939</v>
      </c>
      <c r="E604" s="26">
        <v>42346</v>
      </c>
      <c r="G604">
        <v>2015</v>
      </c>
      <c r="H604" t="s">
        <v>2247</v>
      </c>
      <c r="I604" t="s">
        <v>75</v>
      </c>
      <c r="J604" t="s">
        <v>75</v>
      </c>
      <c r="K604" t="s">
        <v>2248</v>
      </c>
      <c r="L604" t="s">
        <v>942</v>
      </c>
      <c r="M604" t="s">
        <v>943</v>
      </c>
      <c r="N604" t="s">
        <v>944</v>
      </c>
      <c r="O604" t="s">
        <v>2248</v>
      </c>
    </row>
    <row r="605" spans="1:15">
      <c r="A605" t="s">
        <v>2249</v>
      </c>
      <c r="B605" s="26">
        <v>42346</v>
      </c>
      <c r="C605" s="26">
        <v>42346</v>
      </c>
      <c r="D605" t="s">
        <v>939</v>
      </c>
      <c r="E605" s="26">
        <v>42346</v>
      </c>
      <c r="G605">
        <v>2015</v>
      </c>
      <c r="H605" t="s">
        <v>1535</v>
      </c>
      <c r="I605" t="s">
        <v>75</v>
      </c>
      <c r="J605" t="s">
        <v>75</v>
      </c>
      <c r="K605" t="s">
        <v>2250</v>
      </c>
      <c r="L605" t="s">
        <v>942</v>
      </c>
      <c r="M605" t="s">
        <v>943</v>
      </c>
      <c r="N605" t="s">
        <v>944</v>
      </c>
      <c r="O605" t="s">
        <v>2250</v>
      </c>
    </row>
    <row r="606" spans="1:15">
      <c r="A606" t="s">
        <v>2251</v>
      </c>
      <c r="B606" s="26">
        <v>42345</v>
      </c>
      <c r="C606" s="26">
        <v>42345</v>
      </c>
      <c r="D606" t="s">
        <v>939</v>
      </c>
      <c r="E606" s="26">
        <v>42346</v>
      </c>
      <c r="G606">
        <v>2015</v>
      </c>
      <c r="H606" t="s">
        <v>2252</v>
      </c>
      <c r="I606" t="s">
        <v>75</v>
      </c>
      <c r="J606" t="s">
        <v>75</v>
      </c>
      <c r="K606" t="s">
        <v>994</v>
      </c>
      <c r="L606" t="s">
        <v>942</v>
      </c>
      <c r="M606" t="s">
        <v>943</v>
      </c>
      <c r="N606" t="s">
        <v>944</v>
      </c>
      <c r="O606" t="s">
        <v>994</v>
      </c>
    </row>
    <row r="607" spans="1:15">
      <c r="A607" t="s">
        <v>2253</v>
      </c>
      <c r="B607" s="26">
        <v>42549</v>
      </c>
      <c r="C607" s="26">
        <v>42549</v>
      </c>
      <c r="D607" t="s">
        <v>939</v>
      </c>
      <c r="E607" s="26">
        <v>42550</v>
      </c>
      <c r="G607">
        <v>2016</v>
      </c>
      <c r="H607" t="s">
        <v>2195</v>
      </c>
      <c r="I607" t="s">
        <v>75</v>
      </c>
      <c r="J607" t="s">
        <v>75</v>
      </c>
      <c r="K607" t="s">
        <v>953</v>
      </c>
      <c r="L607" t="s">
        <v>942</v>
      </c>
      <c r="M607" t="s">
        <v>943</v>
      </c>
      <c r="N607" t="s">
        <v>944</v>
      </c>
    </row>
    <row r="608" spans="1:15">
      <c r="A608" t="s">
        <v>2254</v>
      </c>
      <c r="B608" s="26">
        <v>41586</v>
      </c>
      <c r="C608" s="26">
        <v>41586</v>
      </c>
      <c r="D608" t="s">
        <v>939</v>
      </c>
      <c r="E608" s="26">
        <v>41586</v>
      </c>
      <c r="G608">
        <v>2013</v>
      </c>
      <c r="H608" t="s">
        <v>2255</v>
      </c>
      <c r="I608" t="s">
        <v>75</v>
      </c>
      <c r="J608" t="s">
        <v>75</v>
      </c>
      <c r="K608">
        <v>290</v>
      </c>
      <c r="L608" t="s">
        <v>948</v>
      </c>
      <c r="M608" t="s">
        <v>943</v>
      </c>
      <c r="N608" t="s">
        <v>944</v>
      </c>
      <c r="O608">
        <v>290</v>
      </c>
    </row>
    <row r="609" spans="1:15">
      <c r="A609" t="s">
        <v>2256</v>
      </c>
      <c r="B609" s="26">
        <v>42345</v>
      </c>
      <c r="C609" s="26">
        <v>42345</v>
      </c>
      <c r="D609" t="s">
        <v>939</v>
      </c>
      <c r="E609" s="26">
        <v>42346</v>
      </c>
      <c r="G609">
        <v>2015</v>
      </c>
      <c r="H609" t="s">
        <v>2257</v>
      </c>
      <c r="I609" t="s">
        <v>75</v>
      </c>
      <c r="J609" t="s">
        <v>75</v>
      </c>
      <c r="K609" t="s">
        <v>2258</v>
      </c>
      <c r="L609" t="s">
        <v>942</v>
      </c>
      <c r="M609" t="s">
        <v>943</v>
      </c>
      <c r="N609" t="s">
        <v>944</v>
      </c>
      <c r="O609" t="s">
        <v>2258</v>
      </c>
    </row>
    <row r="610" spans="1:15">
      <c r="A610" t="s">
        <v>2259</v>
      </c>
      <c r="B610" s="26">
        <v>42550</v>
      </c>
      <c r="C610" s="26">
        <v>42550</v>
      </c>
      <c r="D610" t="s">
        <v>939</v>
      </c>
      <c r="E610" s="26">
        <v>42550</v>
      </c>
      <c r="G610">
        <v>2016</v>
      </c>
      <c r="H610" t="s">
        <v>2034</v>
      </c>
      <c r="I610" t="s">
        <v>75</v>
      </c>
      <c r="J610" t="s">
        <v>75</v>
      </c>
      <c r="K610" t="s">
        <v>953</v>
      </c>
      <c r="L610" t="s">
        <v>942</v>
      </c>
      <c r="M610" t="s">
        <v>943</v>
      </c>
      <c r="N610" t="s">
        <v>944</v>
      </c>
    </row>
    <row r="611" spans="1:15">
      <c r="A611" t="s">
        <v>2260</v>
      </c>
      <c r="B611" s="26">
        <v>44068</v>
      </c>
      <c r="C611" s="26">
        <v>44068</v>
      </c>
      <c r="D611" t="s">
        <v>939</v>
      </c>
      <c r="E611" s="26">
        <v>44068</v>
      </c>
      <c r="G611">
        <v>2020</v>
      </c>
      <c r="H611" t="s">
        <v>2261</v>
      </c>
      <c r="I611" t="s">
        <v>75</v>
      </c>
      <c r="J611" t="s">
        <v>75</v>
      </c>
      <c r="K611" t="s">
        <v>2262</v>
      </c>
      <c r="L611" t="s">
        <v>967</v>
      </c>
      <c r="M611" t="s">
        <v>943</v>
      </c>
      <c r="N611" t="s">
        <v>944</v>
      </c>
      <c r="O611" t="s">
        <v>2262</v>
      </c>
    </row>
    <row r="612" spans="1:15">
      <c r="A612" t="s">
        <v>2263</v>
      </c>
      <c r="B612" s="26">
        <v>42549</v>
      </c>
      <c r="C612" s="26">
        <v>42549</v>
      </c>
      <c r="D612" t="s">
        <v>939</v>
      </c>
      <c r="E612" s="26">
        <v>42550</v>
      </c>
      <c r="G612">
        <v>2016</v>
      </c>
      <c r="H612" t="s">
        <v>1499</v>
      </c>
      <c r="I612" t="s">
        <v>75</v>
      </c>
      <c r="J612" t="s">
        <v>75</v>
      </c>
      <c r="K612" t="s">
        <v>953</v>
      </c>
      <c r="L612" t="s">
        <v>942</v>
      </c>
      <c r="M612" t="s">
        <v>943</v>
      </c>
      <c r="N612" t="s">
        <v>944</v>
      </c>
    </row>
    <row r="613" spans="1:15">
      <c r="A613" t="s">
        <v>2264</v>
      </c>
      <c r="B613" s="26">
        <v>43447</v>
      </c>
      <c r="C613" s="26">
        <v>43447</v>
      </c>
      <c r="D613" t="s">
        <v>939</v>
      </c>
      <c r="E613" s="26">
        <v>43447</v>
      </c>
      <c r="G613">
        <v>2018</v>
      </c>
      <c r="H613" t="s">
        <v>2265</v>
      </c>
      <c r="I613" t="s">
        <v>75</v>
      </c>
      <c r="J613" t="s">
        <v>75</v>
      </c>
      <c r="K613" t="s">
        <v>953</v>
      </c>
      <c r="L613" t="s">
        <v>948</v>
      </c>
      <c r="M613" t="s">
        <v>943</v>
      </c>
      <c r="N613" t="s">
        <v>944</v>
      </c>
    </row>
    <row r="614" spans="1:15">
      <c r="A614" t="s">
        <v>2266</v>
      </c>
      <c r="B614" s="26">
        <v>41787</v>
      </c>
      <c r="C614" s="26">
        <v>41787</v>
      </c>
      <c r="D614" t="s">
        <v>939</v>
      </c>
      <c r="E614" s="26">
        <v>41788</v>
      </c>
      <c r="G614">
        <v>2014</v>
      </c>
      <c r="H614" t="s">
        <v>2267</v>
      </c>
      <c r="I614" t="s">
        <v>75</v>
      </c>
      <c r="J614" t="s">
        <v>75</v>
      </c>
      <c r="K614">
        <v>114</v>
      </c>
      <c r="L614" t="s">
        <v>942</v>
      </c>
      <c r="M614" t="s">
        <v>943</v>
      </c>
      <c r="N614" t="s">
        <v>944</v>
      </c>
      <c r="O614">
        <v>114</v>
      </c>
    </row>
    <row r="615" spans="1:15">
      <c r="A615" t="s">
        <v>2268</v>
      </c>
      <c r="B615" s="26">
        <v>42345</v>
      </c>
      <c r="C615" s="26">
        <v>42345</v>
      </c>
      <c r="D615" t="s">
        <v>939</v>
      </c>
      <c r="E615" s="26">
        <v>42346</v>
      </c>
      <c r="G615">
        <v>2015</v>
      </c>
      <c r="H615" t="s">
        <v>2269</v>
      </c>
      <c r="I615" t="s">
        <v>75</v>
      </c>
      <c r="J615" t="s">
        <v>75</v>
      </c>
      <c r="K615" t="s">
        <v>2270</v>
      </c>
      <c r="L615" t="s">
        <v>942</v>
      </c>
      <c r="M615" t="s">
        <v>943</v>
      </c>
      <c r="N615" t="s">
        <v>944</v>
      </c>
      <c r="O615" t="s">
        <v>2270</v>
      </c>
    </row>
    <row r="616" spans="1:15">
      <c r="A616" t="s">
        <v>2271</v>
      </c>
      <c r="B616" s="26">
        <v>43447</v>
      </c>
      <c r="C616" s="26">
        <v>43447</v>
      </c>
      <c r="D616" t="s">
        <v>939</v>
      </c>
      <c r="E616" s="26">
        <v>43447</v>
      </c>
      <c r="G616">
        <v>2018</v>
      </c>
      <c r="H616" t="s">
        <v>2272</v>
      </c>
      <c r="I616" t="s">
        <v>75</v>
      </c>
      <c r="J616" t="s">
        <v>75</v>
      </c>
      <c r="K616" t="s">
        <v>2273</v>
      </c>
      <c r="L616" t="s">
        <v>948</v>
      </c>
      <c r="M616" t="s">
        <v>943</v>
      </c>
      <c r="N616" t="s">
        <v>944</v>
      </c>
      <c r="O616" t="s">
        <v>2273</v>
      </c>
    </row>
    <row r="617" spans="1:15">
      <c r="A617" t="s">
        <v>2274</v>
      </c>
      <c r="B617" s="26">
        <v>42549</v>
      </c>
      <c r="C617" s="26">
        <v>42549</v>
      </c>
      <c r="D617" t="s">
        <v>939</v>
      </c>
      <c r="E617" s="26">
        <v>42550</v>
      </c>
      <c r="G617">
        <v>2016</v>
      </c>
      <c r="H617" t="s">
        <v>1561</v>
      </c>
      <c r="I617" t="s">
        <v>75</v>
      </c>
      <c r="J617" t="s">
        <v>75</v>
      </c>
      <c r="K617" t="s">
        <v>953</v>
      </c>
      <c r="L617" t="s">
        <v>942</v>
      </c>
      <c r="M617" t="s">
        <v>943</v>
      </c>
      <c r="N617" t="s">
        <v>944</v>
      </c>
    </row>
    <row r="618" spans="1:15">
      <c r="A618" t="s">
        <v>2275</v>
      </c>
      <c r="B618" s="26">
        <v>42549</v>
      </c>
      <c r="C618" s="26">
        <v>42549</v>
      </c>
      <c r="D618" t="s">
        <v>939</v>
      </c>
      <c r="E618" s="26">
        <v>42550</v>
      </c>
      <c r="G618">
        <v>2016</v>
      </c>
      <c r="H618" t="s">
        <v>1569</v>
      </c>
      <c r="I618" t="s">
        <v>75</v>
      </c>
      <c r="J618" t="s">
        <v>75</v>
      </c>
      <c r="K618" t="s">
        <v>1570</v>
      </c>
      <c r="L618" t="s">
        <v>942</v>
      </c>
      <c r="M618" t="s">
        <v>943</v>
      </c>
      <c r="N618" t="s">
        <v>944</v>
      </c>
      <c r="O618" t="s">
        <v>1570</v>
      </c>
    </row>
    <row r="619" spans="1:15">
      <c r="A619" t="s">
        <v>2276</v>
      </c>
      <c r="B619" s="26">
        <v>42549</v>
      </c>
      <c r="C619" s="26">
        <v>42549</v>
      </c>
      <c r="D619" t="s">
        <v>939</v>
      </c>
      <c r="E619" s="26">
        <v>42550</v>
      </c>
      <c r="G619">
        <v>2016</v>
      </c>
      <c r="H619" t="s">
        <v>1844</v>
      </c>
      <c r="I619" t="s">
        <v>75</v>
      </c>
      <c r="J619" t="s">
        <v>75</v>
      </c>
      <c r="K619" t="s">
        <v>953</v>
      </c>
      <c r="L619" t="s">
        <v>942</v>
      </c>
      <c r="M619" t="s">
        <v>943</v>
      </c>
      <c r="N619" t="s">
        <v>944</v>
      </c>
    </row>
    <row r="620" spans="1:15">
      <c r="A620" t="s">
        <v>2277</v>
      </c>
      <c r="B620" s="26">
        <v>44068</v>
      </c>
      <c r="C620" s="26">
        <v>44068</v>
      </c>
      <c r="D620" t="s">
        <v>939</v>
      </c>
      <c r="E620" s="26">
        <v>44068</v>
      </c>
      <c r="G620">
        <v>2020</v>
      </c>
      <c r="H620" t="s">
        <v>2278</v>
      </c>
      <c r="I620" t="s">
        <v>75</v>
      </c>
      <c r="J620" t="s">
        <v>75</v>
      </c>
      <c r="K620" t="s">
        <v>2279</v>
      </c>
      <c r="L620" t="s">
        <v>967</v>
      </c>
      <c r="M620" t="s">
        <v>943</v>
      </c>
      <c r="N620" t="s">
        <v>944</v>
      </c>
      <c r="O620" t="s">
        <v>2279</v>
      </c>
    </row>
    <row r="621" spans="1:15">
      <c r="A621" t="s">
        <v>2280</v>
      </c>
      <c r="B621" s="26">
        <v>43769</v>
      </c>
      <c r="C621" s="26">
        <v>43769</v>
      </c>
      <c r="D621" t="s">
        <v>939</v>
      </c>
      <c r="E621" s="26">
        <v>43769</v>
      </c>
      <c r="G621">
        <v>2019</v>
      </c>
      <c r="H621" t="s">
        <v>2281</v>
      </c>
      <c r="I621" t="s">
        <v>75</v>
      </c>
      <c r="J621" t="s">
        <v>75</v>
      </c>
      <c r="K621">
        <v>-141227</v>
      </c>
      <c r="L621" t="s">
        <v>967</v>
      </c>
      <c r="M621" t="s">
        <v>943</v>
      </c>
      <c r="N621" t="s">
        <v>944</v>
      </c>
      <c r="O621" t="s">
        <v>2282</v>
      </c>
    </row>
    <row r="622" spans="1:15">
      <c r="A622" t="s">
        <v>2283</v>
      </c>
      <c r="B622" s="26">
        <v>42550</v>
      </c>
      <c r="C622" s="26">
        <v>42550</v>
      </c>
      <c r="D622" t="s">
        <v>939</v>
      </c>
      <c r="E622" s="26">
        <v>42550</v>
      </c>
      <c r="G622">
        <v>2016</v>
      </c>
      <c r="H622" t="s">
        <v>2284</v>
      </c>
      <c r="I622" t="s">
        <v>75</v>
      </c>
      <c r="J622" t="s">
        <v>75</v>
      </c>
      <c r="K622" t="s">
        <v>953</v>
      </c>
      <c r="L622" t="s">
        <v>942</v>
      </c>
      <c r="M622" t="s">
        <v>943</v>
      </c>
      <c r="N622" t="s">
        <v>944</v>
      </c>
    </row>
    <row r="623" spans="1:15">
      <c r="A623" t="s">
        <v>2285</v>
      </c>
      <c r="B623" s="26">
        <v>42453</v>
      </c>
      <c r="C623" s="26">
        <v>42453</v>
      </c>
      <c r="D623" t="s">
        <v>939</v>
      </c>
      <c r="E623" s="26">
        <v>42453</v>
      </c>
      <c r="G623">
        <v>2016</v>
      </c>
      <c r="H623" t="s">
        <v>1462</v>
      </c>
      <c r="I623" t="s">
        <v>75</v>
      </c>
      <c r="J623" t="s">
        <v>75</v>
      </c>
      <c r="K623" t="s">
        <v>1463</v>
      </c>
      <c r="L623" t="s">
        <v>942</v>
      </c>
      <c r="M623" t="s">
        <v>968</v>
      </c>
      <c r="O623" t="s">
        <v>1463</v>
      </c>
    </row>
    <row r="624" spans="1:15">
      <c r="A624" t="s">
        <v>2286</v>
      </c>
      <c r="B624" s="26">
        <v>43522</v>
      </c>
      <c r="C624" s="26">
        <v>43522</v>
      </c>
      <c r="D624" t="s">
        <v>939</v>
      </c>
      <c r="E624" s="26">
        <v>43524</v>
      </c>
      <c r="G624">
        <v>2019</v>
      </c>
      <c r="H624" t="s">
        <v>2287</v>
      </c>
      <c r="I624" t="s">
        <v>75</v>
      </c>
      <c r="J624" t="s">
        <v>75</v>
      </c>
      <c r="K624" t="s">
        <v>2288</v>
      </c>
      <c r="L624" t="s">
        <v>967</v>
      </c>
      <c r="M624" t="s">
        <v>943</v>
      </c>
      <c r="N624" t="s">
        <v>944</v>
      </c>
      <c r="O624" t="s">
        <v>2288</v>
      </c>
    </row>
    <row r="625" spans="1:15">
      <c r="A625" t="s">
        <v>2289</v>
      </c>
      <c r="B625" s="26">
        <v>44068</v>
      </c>
      <c r="C625" s="26">
        <v>44068</v>
      </c>
      <c r="D625" t="s">
        <v>939</v>
      </c>
      <c r="E625" s="26">
        <v>44068</v>
      </c>
      <c r="G625">
        <v>2020</v>
      </c>
      <c r="H625" t="s">
        <v>2290</v>
      </c>
      <c r="I625" t="s">
        <v>75</v>
      </c>
      <c r="J625" t="s">
        <v>75</v>
      </c>
      <c r="K625" t="s">
        <v>2291</v>
      </c>
      <c r="L625" t="s">
        <v>967</v>
      </c>
      <c r="M625" t="s">
        <v>943</v>
      </c>
      <c r="N625" t="s">
        <v>944</v>
      </c>
      <c r="O625" t="s">
        <v>2291</v>
      </c>
    </row>
    <row r="626" spans="1:15">
      <c r="A626" t="s">
        <v>2292</v>
      </c>
      <c r="B626" s="26">
        <v>42345</v>
      </c>
      <c r="C626" s="26">
        <v>42345</v>
      </c>
      <c r="D626" t="s">
        <v>939</v>
      </c>
      <c r="E626" s="26">
        <v>42346</v>
      </c>
      <c r="G626">
        <v>2015</v>
      </c>
      <c r="H626" t="s">
        <v>1582</v>
      </c>
      <c r="I626" t="s">
        <v>75</v>
      </c>
      <c r="J626" t="s">
        <v>75</v>
      </c>
      <c r="K626" t="s">
        <v>953</v>
      </c>
      <c r="L626" t="s">
        <v>942</v>
      </c>
      <c r="M626" t="s">
        <v>943</v>
      </c>
      <c r="N626" t="s">
        <v>944</v>
      </c>
    </row>
    <row r="627" spans="1:15">
      <c r="A627" t="s">
        <v>2293</v>
      </c>
      <c r="B627" s="26">
        <v>42550</v>
      </c>
      <c r="C627" s="26">
        <v>42550</v>
      </c>
      <c r="D627" t="s">
        <v>939</v>
      </c>
      <c r="E627" s="26">
        <v>42550</v>
      </c>
      <c r="G627">
        <v>2016</v>
      </c>
      <c r="H627" t="s">
        <v>1632</v>
      </c>
      <c r="I627" t="s">
        <v>75</v>
      </c>
      <c r="J627" t="s">
        <v>75</v>
      </c>
      <c r="K627" t="s">
        <v>953</v>
      </c>
      <c r="L627" t="s">
        <v>942</v>
      </c>
      <c r="M627" t="s">
        <v>943</v>
      </c>
      <c r="N627" t="s">
        <v>944</v>
      </c>
    </row>
    <row r="628" spans="1:15">
      <c r="A628" t="s">
        <v>2294</v>
      </c>
      <c r="B628" s="26">
        <v>41240</v>
      </c>
      <c r="C628" s="26">
        <v>41240</v>
      </c>
      <c r="D628" t="s">
        <v>939</v>
      </c>
      <c r="E628" s="26">
        <v>41240</v>
      </c>
      <c r="G628">
        <v>2012</v>
      </c>
      <c r="H628" t="s">
        <v>2295</v>
      </c>
      <c r="I628" t="s">
        <v>75</v>
      </c>
      <c r="J628" t="s">
        <v>75</v>
      </c>
      <c r="K628" t="s">
        <v>953</v>
      </c>
      <c r="L628" t="s">
        <v>1086</v>
      </c>
      <c r="M628" t="s">
        <v>1087</v>
      </c>
      <c r="N628" t="s">
        <v>1088</v>
      </c>
    </row>
    <row r="629" spans="1:15">
      <c r="A629" t="s">
        <v>2296</v>
      </c>
      <c r="B629" s="26">
        <v>41788</v>
      </c>
      <c r="C629" s="26">
        <v>41788</v>
      </c>
      <c r="D629" t="s">
        <v>939</v>
      </c>
      <c r="E629" s="26">
        <v>41788</v>
      </c>
      <c r="G629">
        <v>2014</v>
      </c>
      <c r="H629" t="s">
        <v>2297</v>
      </c>
      <c r="I629" t="s">
        <v>75</v>
      </c>
      <c r="J629" t="s">
        <v>75</v>
      </c>
      <c r="K629" t="s">
        <v>953</v>
      </c>
      <c r="L629" t="s">
        <v>942</v>
      </c>
      <c r="M629" t="s">
        <v>943</v>
      </c>
      <c r="N629" t="s">
        <v>944</v>
      </c>
    </row>
    <row r="630" spans="1:15">
      <c r="A630" t="s">
        <v>2298</v>
      </c>
      <c r="B630" s="26">
        <v>42346</v>
      </c>
      <c r="C630" s="26">
        <v>42346</v>
      </c>
      <c r="D630" t="s">
        <v>939</v>
      </c>
      <c r="E630" s="26">
        <v>42346</v>
      </c>
      <c r="G630">
        <v>2015</v>
      </c>
      <c r="H630" t="s">
        <v>2299</v>
      </c>
      <c r="I630" t="s">
        <v>75</v>
      </c>
      <c r="J630" t="s">
        <v>75</v>
      </c>
      <c r="K630" t="s">
        <v>953</v>
      </c>
      <c r="L630" t="s">
        <v>942</v>
      </c>
      <c r="M630" t="s">
        <v>943</v>
      </c>
      <c r="N630" t="s">
        <v>944</v>
      </c>
    </row>
    <row r="631" spans="1:15">
      <c r="A631" t="s">
        <v>2300</v>
      </c>
      <c r="B631" s="26">
        <v>42453</v>
      </c>
      <c r="C631" s="26">
        <v>42453</v>
      </c>
      <c r="D631" t="s">
        <v>939</v>
      </c>
      <c r="E631" s="26">
        <v>42453</v>
      </c>
      <c r="G631">
        <v>2016</v>
      </c>
      <c r="H631" t="s">
        <v>1060</v>
      </c>
      <c r="I631" t="s">
        <v>75</v>
      </c>
      <c r="J631" t="s">
        <v>75</v>
      </c>
      <c r="K631" t="s">
        <v>1061</v>
      </c>
      <c r="L631" t="s">
        <v>942</v>
      </c>
      <c r="M631" t="s">
        <v>968</v>
      </c>
      <c r="O631" t="s">
        <v>1061</v>
      </c>
    </row>
    <row r="632" spans="1:15">
      <c r="A632" t="s">
        <v>2301</v>
      </c>
      <c r="B632" s="26">
        <v>42453</v>
      </c>
      <c r="C632" s="26">
        <v>42453</v>
      </c>
      <c r="D632" t="s">
        <v>939</v>
      </c>
      <c r="E632" s="26">
        <v>42453</v>
      </c>
      <c r="G632">
        <v>2016</v>
      </c>
      <c r="H632" t="s">
        <v>1833</v>
      </c>
      <c r="I632" t="s">
        <v>75</v>
      </c>
      <c r="J632" t="s">
        <v>75</v>
      </c>
      <c r="K632" t="s">
        <v>953</v>
      </c>
      <c r="L632" t="s">
        <v>942</v>
      </c>
      <c r="M632" t="s">
        <v>968</v>
      </c>
    </row>
    <row r="633" spans="1:15">
      <c r="A633" t="s">
        <v>2302</v>
      </c>
      <c r="B633" s="26">
        <v>42550</v>
      </c>
      <c r="C633" s="26">
        <v>42550</v>
      </c>
      <c r="D633" t="s">
        <v>939</v>
      </c>
      <c r="E633" s="26">
        <v>42550</v>
      </c>
      <c r="G633">
        <v>2016</v>
      </c>
      <c r="H633" t="s">
        <v>1902</v>
      </c>
      <c r="I633" t="s">
        <v>75</v>
      </c>
      <c r="J633" t="s">
        <v>75</v>
      </c>
      <c r="K633" t="s">
        <v>953</v>
      </c>
      <c r="L633" t="s">
        <v>942</v>
      </c>
      <c r="M633" t="s">
        <v>943</v>
      </c>
      <c r="N633" t="s">
        <v>944</v>
      </c>
    </row>
    <row r="634" spans="1:15">
      <c r="A634" t="s">
        <v>2303</v>
      </c>
      <c r="B634" s="26">
        <v>42384</v>
      </c>
      <c r="C634" s="26">
        <v>42384</v>
      </c>
      <c r="D634" t="s">
        <v>939</v>
      </c>
      <c r="E634" s="26">
        <v>42384</v>
      </c>
      <c r="G634">
        <v>2016</v>
      </c>
      <c r="H634" t="s">
        <v>1984</v>
      </c>
      <c r="I634" t="s">
        <v>75</v>
      </c>
      <c r="J634" t="s">
        <v>75</v>
      </c>
      <c r="K634" t="s">
        <v>953</v>
      </c>
      <c r="L634" t="s">
        <v>942</v>
      </c>
      <c r="M634" t="s">
        <v>968</v>
      </c>
    </row>
    <row r="635" spans="1:15">
      <c r="A635" t="s">
        <v>2304</v>
      </c>
      <c r="B635" s="26">
        <v>42346</v>
      </c>
      <c r="C635" s="26">
        <v>42346</v>
      </c>
      <c r="D635" t="s">
        <v>939</v>
      </c>
      <c r="E635" s="26">
        <v>42346</v>
      </c>
      <c r="G635">
        <v>2015</v>
      </c>
      <c r="H635" t="s">
        <v>1127</v>
      </c>
      <c r="I635" t="s">
        <v>75</v>
      </c>
      <c r="J635" t="s">
        <v>75</v>
      </c>
      <c r="K635" t="s">
        <v>953</v>
      </c>
      <c r="L635" t="s">
        <v>942</v>
      </c>
      <c r="M635" t="s">
        <v>943</v>
      </c>
      <c r="N635" t="s">
        <v>944</v>
      </c>
    </row>
    <row r="636" spans="1:15">
      <c r="A636" t="s">
        <v>2305</v>
      </c>
      <c r="B636" s="26">
        <v>43447</v>
      </c>
      <c r="C636" s="26">
        <v>43447</v>
      </c>
      <c r="D636" t="s">
        <v>939</v>
      </c>
      <c r="E636" s="26">
        <v>43447</v>
      </c>
      <c r="G636">
        <v>2018</v>
      </c>
      <c r="H636" t="s">
        <v>2306</v>
      </c>
      <c r="I636" t="s">
        <v>75</v>
      </c>
      <c r="J636" t="s">
        <v>75</v>
      </c>
      <c r="K636" t="s">
        <v>953</v>
      </c>
      <c r="L636" t="s">
        <v>948</v>
      </c>
      <c r="M636" t="s">
        <v>943</v>
      </c>
      <c r="N636" t="s">
        <v>944</v>
      </c>
    </row>
    <row r="637" spans="1:15">
      <c r="A637" t="s">
        <v>2307</v>
      </c>
      <c r="B637" s="26">
        <v>42549</v>
      </c>
      <c r="C637" s="26">
        <v>42549</v>
      </c>
      <c r="D637" t="s">
        <v>939</v>
      </c>
      <c r="E637" s="26">
        <v>42550</v>
      </c>
      <c r="G637">
        <v>2016</v>
      </c>
      <c r="H637" t="s">
        <v>2185</v>
      </c>
      <c r="I637" t="s">
        <v>75</v>
      </c>
      <c r="J637" t="s">
        <v>75</v>
      </c>
      <c r="K637" t="s">
        <v>953</v>
      </c>
      <c r="L637" t="s">
        <v>942</v>
      </c>
      <c r="M637" t="s">
        <v>943</v>
      </c>
      <c r="N637" t="s">
        <v>944</v>
      </c>
    </row>
    <row r="638" spans="1:15">
      <c r="A638" t="s">
        <v>2308</v>
      </c>
      <c r="B638" s="26">
        <v>42549</v>
      </c>
      <c r="C638" s="26">
        <v>42549</v>
      </c>
      <c r="D638" t="s">
        <v>939</v>
      </c>
      <c r="E638" s="26">
        <v>42550</v>
      </c>
      <c r="G638">
        <v>2016</v>
      </c>
      <c r="H638" t="s">
        <v>1505</v>
      </c>
      <c r="I638" t="s">
        <v>75</v>
      </c>
      <c r="J638" t="s">
        <v>75</v>
      </c>
      <c r="K638" t="s">
        <v>953</v>
      </c>
      <c r="L638" t="s">
        <v>942</v>
      </c>
      <c r="M638" t="s">
        <v>943</v>
      </c>
      <c r="N638" t="s">
        <v>944</v>
      </c>
    </row>
    <row r="639" spans="1:15">
      <c r="A639" t="s">
        <v>2309</v>
      </c>
      <c r="B639" s="26">
        <v>42639</v>
      </c>
      <c r="C639" s="26">
        <v>42639</v>
      </c>
      <c r="D639" t="s">
        <v>939</v>
      </c>
      <c r="E639" s="26">
        <v>42639</v>
      </c>
      <c r="G639">
        <v>2016</v>
      </c>
      <c r="H639" t="s">
        <v>960</v>
      </c>
      <c r="I639" t="s">
        <v>75</v>
      </c>
      <c r="J639" t="s">
        <v>75</v>
      </c>
      <c r="K639">
        <v>343665</v>
      </c>
      <c r="L639" t="s">
        <v>961</v>
      </c>
      <c r="M639" t="s">
        <v>962</v>
      </c>
      <c r="N639" t="s">
        <v>963</v>
      </c>
      <c r="O639">
        <v>343665</v>
      </c>
    </row>
    <row r="640" spans="1:15">
      <c r="A640" t="s">
        <v>2310</v>
      </c>
      <c r="B640" s="26">
        <v>42549</v>
      </c>
      <c r="C640" s="26">
        <v>42549</v>
      </c>
      <c r="D640" t="s">
        <v>939</v>
      </c>
      <c r="E640" s="26">
        <v>42550</v>
      </c>
      <c r="G640">
        <v>2016</v>
      </c>
      <c r="H640" t="s">
        <v>1589</v>
      </c>
      <c r="I640" t="s">
        <v>75</v>
      </c>
      <c r="J640" t="s">
        <v>75</v>
      </c>
      <c r="K640" t="s">
        <v>953</v>
      </c>
      <c r="L640" t="s">
        <v>942</v>
      </c>
      <c r="M640" t="s">
        <v>943</v>
      </c>
      <c r="N640" t="s">
        <v>944</v>
      </c>
    </row>
    <row r="641" spans="1:15">
      <c r="A641" t="s">
        <v>2311</v>
      </c>
      <c r="B641" s="26">
        <v>42677</v>
      </c>
      <c r="C641" s="26">
        <v>42677</v>
      </c>
      <c r="D641" t="s">
        <v>939</v>
      </c>
      <c r="E641" s="26">
        <v>42681</v>
      </c>
      <c r="G641">
        <v>2016</v>
      </c>
      <c r="H641" t="s">
        <v>2312</v>
      </c>
      <c r="I641" t="s">
        <v>75</v>
      </c>
      <c r="J641" t="s">
        <v>75</v>
      </c>
      <c r="K641" t="s">
        <v>953</v>
      </c>
      <c r="L641" t="s">
        <v>948</v>
      </c>
      <c r="M641" t="s">
        <v>943</v>
      </c>
      <c r="N641" t="s">
        <v>944</v>
      </c>
    </row>
    <row r="642" spans="1:15">
      <c r="A642" t="s">
        <v>2313</v>
      </c>
      <c r="B642" s="26">
        <v>42550</v>
      </c>
      <c r="C642" s="26">
        <v>42550</v>
      </c>
      <c r="D642" t="s">
        <v>939</v>
      </c>
      <c r="E642" s="26">
        <v>42550</v>
      </c>
      <c r="G642">
        <v>2016</v>
      </c>
      <c r="H642" t="s">
        <v>1917</v>
      </c>
      <c r="I642" t="s">
        <v>75</v>
      </c>
      <c r="J642" t="s">
        <v>75</v>
      </c>
      <c r="K642" t="s">
        <v>953</v>
      </c>
      <c r="L642" t="s">
        <v>942</v>
      </c>
      <c r="M642" t="s">
        <v>943</v>
      </c>
      <c r="N642" t="s">
        <v>944</v>
      </c>
    </row>
    <row r="643" spans="1:15">
      <c r="A643" t="s">
        <v>2314</v>
      </c>
      <c r="B643" s="26">
        <v>42549</v>
      </c>
      <c r="C643" s="26">
        <v>42549</v>
      </c>
      <c r="D643" t="s">
        <v>939</v>
      </c>
      <c r="E643" s="26">
        <v>42550</v>
      </c>
      <c r="G643">
        <v>2016</v>
      </c>
      <c r="H643" t="s">
        <v>1535</v>
      </c>
      <c r="I643" t="s">
        <v>75</v>
      </c>
      <c r="J643" t="s">
        <v>75</v>
      </c>
      <c r="K643" t="s">
        <v>1536</v>
      </c>
      <c r="L643" t="s">
        <v>942</v>
      </c>
      <c r="M643" t="s">
        <v>943</v>
      </c>
      <c r="N643" t="s">
        <v>944</v>
      </c>
      <c r="O643" t="s">
        <v>1536</v>
      </c>
    </row>
    <row r="644" spans="1:15">
      <c r="A644" t="s">
        <v>2315</v>
      </c>
      <c r="B644" s="26">
        <v>42143</v>
      </c>
      <c r="C644" s="26">
        <v>42143</v>
      </c>
      <c r="D644" t="s">
        <v>939</v>
      </c>
      <c r="E644" s="26">
        <v>42143</v>
      </c>
      <c r="G644">
        <v>2015</v>
      </c>
      <c r="H644" t="s">
        <v>2316</v>
      </c>
      <c r="I644" t="s">
        <v>75</v>
      </c>
      <c r="J644" t="s">
        <v>75</v>
      </c>
      <c r="K644" t="s">
        <v>953</v>
      </c>
      <c r="L644" t="s">
        <v>942</v>
      </c>
      <c r="M644" t="s">
        <v>968</v>
      </c>
    </row>
    <row r="645" spans="1:15">
      <c r="A645" t="s">
        <v>2317</v>
      </c>
      <c r="B645" s="26">
        <v>42549</v>
      </c>
      <c r="C645" s="26">
        <v>42549</v>
      </c>
      <c r="D645" t="s">
        <v>939</v>
      </c>
      <c r="E645" s="26">
        <v>42550</v>
      </c>
      <c r="G645">
        <v>2016</v>
      </c>
      <c r="H645" t="s">
        <v>2019</v>
      </c>
      <c r="I645" t="s">
        <v>75</v>
      </c>
      <c r="J645" t="s">
        <v>75</v>
      </c>
      <c r="K645" t="s">
        <v>2020</v>
      </c>
      <c r="L645" t="s">
        <v>942</v>
      </c>
      <c r="M645" t="s">
        <v>943</v>
      </c>
      <c r="N645" t="s">
        <v>944</v>
      </c>
      <c r="O645" t="s">
        <v>2020</v>
      </c>
    </row>
    <row r="646" spans="1:15">
      <c r="A646" t="s">
        <v>2318</v>
      </c>
      <c r="B646" s="26">
        <v>41787</v>
      </c>
      <c r="C646" s="26">
        <v>41787</v>
      </c>
      <c r="D646" t="s">
        <v>939</v>
      </c>
      <c r="E646" s="26">
        <v>41788</v>
      </c>
      <c r="G646">
        <v>2014</v>
      </c>
      <c r="H646" t="s">
        <v>2319</v>
      </c>
      <c r="I646" t="s">
        <v>75</v>
      </c>
      <c r="J646" t="s">
        <v>75</v>
      </c>
      <c r="K646" t="s">
        <v>2320</v>
      </c>
      <c r="L646" t="s">
        <v>942</v>
      </c>
      <c r="M646" t="s">
        <v>943</v>
      </c>
      <c r="N646" t="s">
        <v>944</v>
      </c>
      <c r="O646" t="s">
        <v>2320</v>
      </c>
    </row>
    <row r="647" spans="1:15">
      <c r="A647" t="s">
        <v>2321</v>
      </c>
      <c r="B647" s="26">
        <v>41787</v>
      </c>
      <c r="C647" s="26">
        <v>41787</v>
      </c>
      <c r="D647" t="s">
        <v>939</v>
      </c>
      <c r="E647" s="26">
        <v>41788</v>
      </c>
      <c r="G647">
        <v>2014</v>
      </c>
      <c r="H647" t="s">
        <v>2322</v>
      </c>
      <c r="I647" t="s">
        <v>75</v>
      </c>
      <c r="J647" t="s">
        <v>75</v>
      </c>
      <c r="K647" t="s">
        <v>953</v>
      </c>
      <c r="L647" t="s">
        <v>942</v>
      </c>
      <c r="M647" t="s">
        <v>943</v>
      </c>
      <c r="N647" t="s">
        <v>944</v>
      </c>
    </row>
    <row r="648" spans="1:15">
      <c r="A648" t="s">
        <v>2323</v>
      </c>
      <c r="B648" s="26">
        <v>42550</v>
      </c>
      <c r="C648" s="26">
        <v>42550</v>
      </c>
      <c r="D648" t="s">
        <v>939</v>
      </c>
      <c r="E648" s="26">
        <v>42550</v>
      </c>
      <c r="G648">
        <v>2016</v>
      </c>
      <c r="H648" t="s">
        <v>1870</v>
      </c>
      <c r="I648" t="s">
        <v>75</v>
      </c>
      <c r="J648" t="s">
        <v>75</v>
      </c>
      <c r="K648" t="s">
        <v>953</v>
      </c>
      <c r="L648" t="s">
        <v>942</v>
      </c>
      <c r="M648" t="s">
        <v>943</v>
      </c>
      <c r="N648" t="s">
        <v>944</v>
      </c>
    </row>
    <row r="649" spans="1:15">
      <c r="A649" t="s">
        <v>2324</v>
      </c>
      <c r="B649" s="26">
        <v>43839</v>
      </c>
      <c r="C649" s="26">
        <v>43839</v>
      </c>
      <c r="D649" t="s">
        <v>939</v>
      </c>
      <c r="E649" s="26">
        <v>43839</v>
      </c>
      <c r="G649">
        <v>2020</v>
      </c>
      <c r="H649" t="s">
        <v>2325</v>
      </c>
      <c r="I649" t="s">
        <v>75</v>
      </c>
      <c r="J649" t="s">
        <v>75</v>
      </c>
      <c r="K649" t="s">
        <v>2326</v>
      </c>
      <c r="L649" t="s">
        <v>967</v>
      </c>
      <c r="M649" t="s">
        <v>1005</v>
      </c>
      <c r="N649" t="s">
        <v>963</v>
      </c>
      <c r="O649" t="s">
        <v>2326</v>
      </c>
    </row>
    <row r="650" spans="1:15">
      <c r="A650" t="s">
        <v>2327</v>
      </c>
      <c r="B650" s="26">
        <v>43447</v>
      </c>
      <c r="C650" s="26">
        <v>43447</v>
      </c>
      <c r="D650" t="s">
        <v>939</v>
      </c>
      <c r="E650" s="26">
        <v>43447</v>
      </c>
      <c r="G650">
        <v>2018</v>
      </c>
      <c r="H650" t="s">
        <v>2328</v>
      </c>
      <c r="I650" t="s">
        <v>75</v>
      </c>
      <c r="J650" t="s">
        <v>75</v>
      </c>
      <c r="K650" t="s">
        <v>953</v>
      </c>
      <c r="L650" t="s">
        <v>948</v>
      </c>
      <c r="M650" t="s">
        <v>943</v>
      </c>
      <c r="N650" t="s">
        <v>944</v>
      </c>
    </row>
    <row r="651" spans="1:15">
      <c r="A651" t="s">
        <v>2329</v>
      </c>
      <c r="B651" s="26">
        <v>42550</v>
      </c>
      <c r="C651" s="26">
        <v>42550</v>
      </c>
      <c r="D651" t="s">
        <v>939</v>
      </c>
      <c r="E651" s="26">
        <v>42550</v>
      </c>
      <c r="G651">
        <v>2016</v>
      </c>
      <c r="H651" t="s">
        <v>1978</v>
      </c>
      <c r="I651" t="s">
        <v>75</v>
      </c>
      <c r="J651" t="s">
        <v>75</v>
      </c>
      <c r="K651" t="s">
        <v>953</v>
      </c>
      <c r="L651" t="s">
        <v>942</v>
      </c>
      <c r="M651" t="s">
        <v>943</v>
      </c>
      <c r="N651" t="s">
        <v>944</v>
      </c>
    </row>
    <row r="652" spans="1:15">
      <c r="A652" t="s">
        <v>2330</v>
      </c>
      <c r="B652" s="26">
        <v>42345</v>
      </c>
      <c r="C652" s="26">
        <v>42345</v>
      </c>
      <c r="D652" t="s">
        <v>939</v>
      </c>
      <c r="E652" s="26">
        <v>42346</v>
      </c>
      <c r="G652">
        <v>2015</v>
      </c>
      <c r="H652" t="s">
        <v>2331</v>
      </c>
      <c r="I652" t="s">
        <v>75</v>
      </c>
      <c r="J652" t="s">
        <v>75</v>
      </c>
      <c r="K652" t="s">
        <v>2332</v>
      </c>
      <c r="L652" t="s">
        <v>942</v>
      </c>
      <c r="M652" t="s">
        <v>943</v>
      </c>
      <c r="N652" t="s">
        <v>944</v>
      </c>
      <c r="O652" t="s">
        <v>2332</v>
      </c>
    </row>
    <row r="653" spans="1:15">
      <c r="A653" t="s">
        <v>2333</v>
      </c>
      <c r="B653" s="26">
        <v>42453</v>
      </c>
      <c r="C653" s="26">
        <v>42453</v>
      </c>
      <c r="D653" t="s">
        <v>939</v>
      </c>
      <c r="E653" s="26">
        <v>42453</v>
      </c>
      <c r="G653">
        <v>2016</v>
      </c>
      <c r="H653" t="s">
        <v>1541</v>
      </c>
      <c r="I653" t="s">
        <v>75</v>
      </c>
      <c r="J653" t="s">
        <v>75</v>
      </c>
      <c r="K653" t="s">
        <v>953</v>
      </c>
      <c r="L653" t="s">
        <v>942</v>
      </c>
      <c r="M653" t="s">
        <v>968</v>
      </c>
    </row>
    <row r="654" spans="1:15">
      <c r="A654" t="s">
        <v>2334</v>
      </c>
      <c r="B654" s="26">
        <v>41586</v>
      </c>
      <c r="C654" s="26">
        <v>41586</v>
      </c>
      <c r="D654" t="s">
        <v>939</v>
      </c>
      <c r="E654" s="26">
        <v>41586</v>
      </c>
      <c r="G654">
        <v>2013</v>
      </c>
      <c r="H654" t="s">
        <v>2335</v>
      </c>
      <c r="I654" t="s">
        <v>75</v>
      </c>
      <c r="J654" t="s">
        <v>75</v>
      </c>
      <c r="K654" t="s">
        <v>953</v>
      </c>
      <c r="L654" t="s">
        <v>948</v>
      </c>
      <c r="M654" t="s">
        <v>943</v>
      </c>
      <c r="N654" t="s">
        <v>944</v>
      </c>
    </row>
    <row r="655" spans="1:15">
      <c r="A655" t="s">
        <v>2336</v>
      </c>
      <c r="B655" s="26">
        <v>42345</v>
      </c>
      <c r="C655" s="26">
        <v>42345</v>
      </c>
      <c r="D655" t="s">
        <v>939</v>
      </c>
      <c r="E655" s="26">
        <v>42346</v>
      </c>
      <c r="G655">
        <v>2015</v>
      </c>
      <c r="H655" t="s">
        <v>1505</v>
      </c>
      <c r="I655" t="s">
        <v>75</v>
      </c>
      <c r="J655" t="s">
        <v>75</v>
      </c>
      <c r="K655" t="s">
        <v>953</v>
      </c>
      <c r="L655" t="s">
        <v>942</v>
      </c>
      <c r="M655" t="s">
        <v>943</v>
      </c>
      <c r="N655" t="s">
        <v>944</v>
      </c>
    </row>
    <row r="656" spans="1:15">
      <c r="A656" t="s">
        <v>2337</v>
      </c>
      <c r="B656" s="26">
        <v>42549</v>
      </c>
      <c r="C656" s="26">
        <v>42549</v>
      </c>
      <c r="D656" t="s">
        <v>939</v>
      </c>
      <c r="E656" s="26">
        <v>42550</v>
      </c>
      <c r="G656">
        <v>2016</v>
      </c>
      <c r="H656" t="s">
        <v>2180</v>
      </c>
      <c r="I656" t="s">
        <v>75</v>
      </c>
      <c r="J656" t="s">
        <v>75</v>
      </c>
      <c r="K656" t="s">
        <v>953</v>
      </c>
      <c r="L656" t="s">
        <v>942</v>
      </c>
      <c r="M656" t="s">
        <v>943</v>
      </c>
      <c r="N656" t="s">
        <v>944</v>
      </c>
    </row>
    <row r="657" spans="1:17">
      <c r="A657" t="s">
        <v>2338</v>
      </c>
      <c r="B657" s="26">
        <v>42345</v>
      </c>
      <c r="C657" s="26">
        <v>42345</v>
      </c>
      <c r="D657" t="s">
        <v>939</v>
      </c>
      <c r="E657" s="26">
        <v>42346</v>
      </c>
      <c r="G657">
        <v>2015</v>
      </c>
      <c r="H657" t="s">
        <v>2339</v>
      </c>
      <c r="I657" t="s">
        <v>75</v>
      </c>
      <c r="J657" t="s">
        <v>75</v>
      </c>
      <c r="K657" t="s">
        <v>2340</v>
      </c>
      <c r="L657" t="s">
        <v>942</v>
      </c>
      <c r="M657" t="s">
        <v>943</v>
      </c>
      <c r="N657" t="s">
        <v>944</v>
      </c>
      <c r="O657" t="s">
        <v>2340</v>
      </c>
    </row>
    <row r="658" spans="1:17">
      <c r="A658" t="s">
        <v>2341</v>
      </c>
      <c r="B658" s="26">
        <v>42550</v>
      </c>
      <c r="C658" s="26">
        <v>42550</v>
      </c>
      <c r="D658" t="s">
        <v>939</v>
      </c>
      <c r="E658" s="26">
        <v>42550</v>
      </c>
      <c r="G658">
        <v>2016</v>
      </c>
      <c r="H658" t="s">
        <v>2284</v>
      </c>
      <c r="I658" t="s">
        <v>75</v>
      </c>
      <c r="J658" t="s">
        <v>75</v>
      </c>
      <c r="K658" t="s">
        <v>953</v>
      </c>
      <c r="L658" t="s">
        <v>942</v>
      </c>
      <c r="M658" t="s">
        <v>943</v>
      </c>
      <c r="N658" t="s">
        <v>944</v>
      </c>
    </row>
    <row r="659" spans="1:17">
      <c r="A659" t="s">
        <v>2342</v>
      </c>
      <c r="B659" s="26">
        <v>44601</v>
      </c>
      <c r="C659" s="26">
        <v>44601</v>
      </c>
      <c r="D659" t="s">
        <v>939</v>
      </c>
      <c r="E659" s="26"/>
      <c r="G659">
        <v>2022</v>
      </c>
      <c r="H659" t="s">
        <v>2343</v>
      </c>
      <c r="I659" t="s">
        <v>75</v>
      </c>
      <c r="J659" t="s">
        <v>75</v>
      </c>
      <c r="K659">
        <v>92468</v>
      </c>
      <c r="L659" t="s">
        <v>1204</v>
      </c>
      <c r="M659" t="s">
        <v>2008</v>
      </c>
      <c r="N659" t="s">
        <v>1088</v>
      </c>
      <c r="P659">
        <v>92468</v>
      </c>
      <c r="Q659">
        <v>92468</v>
      </c>
    </row>
    <row r="660" spans="1:17">
      <c r="A660" t="s">
        <v>2344</v>
      </c>
      <c r="B660" s="26">
        <v>44641</v>
      </c>
      <c r="C660" s="26">
        <v>44641</v>
      </c>
      <c r="D660" t="s">
        <v>939</v>
      </c>
      <c r="E660" s="26"/>
      <c r="G660">
        <v>2022</v>
      </c>
      <c r="H660" t="s">
        <v>2345</v>
      </c>
      <c r="I660" t="s">
        <v>75</v>
      </c>
      <c r="J660" t="s">
        <v>75</v>
      </c>
      <c r="K660" t="s">
        <v>2346</v>
      </c>
      <c r="L660" t="s">
        <v>1204</v>
      </c>
      <c r="M660" t="s">
        <v>1005</v>
      </c>
      <c r="N660" t="s">
        <v>963</v>
      </c>
      <c r="P660" t="s">
        <v>2346</v>
      </c>
      <c r="Q660" t="s">
        <v>2346</v>
      </c>
    </row>
    <row r="661" spans="1:17">
      <c r="A661" t="s">
        <v>2347</v>
      </c>
      <c r="B661" s="26">
        <v>44378</v>
      </c>
      <c r="C661" s="26">
        <v>44378</v>
      </c>
      <c r="D661" t="s">
        <v>939</v>
      </c>
      <c r="E661" s="26"/>
      <c r="G661">
        <v>2021</v>
      </c>
      <c r="H661" t="s">
        <v>2348</v>
      </c>
      <c r="I661" t="s">
        <v>75</v>
      </c>
      <c r="J661" t="s">
        <v>75</v>
      </c>
      <c r="K661" t="s">
        <v>2349</v>
      </c>
      <c r="L661" t="s">
        <v>2350</v>
      </c>
      <c r="M661" t="s">
        <v>968</v>
      </c>
      <c r="P661" t="s">
        <v>2349</v>
      </c>
      <c r="Q661" t="s">
        <v>2349</v>
      </c>
    </row>
    <row r="662" spans="1:17">
      <c r="A662" t="s">
        <v>2351</v>
      </c>
      <c r="B662" s="26">
        <v>42080</v>
      </c>
      <c r="C662" s="26">
        <v>42080</v>
      </c>
      <c r="D662" t="s">
        <v>1206</v>
      </c>
      <c r="E662" s="26"/>
      <c r="G662">
        <v>2014</v>
      </c>
      <c r="H662" t="s">
        <v>2352</v>
      </c>
      <c r="I662" t="s">
        <v>47</v>
      </c>
      <c r="J662" t="s">
        <v>157</v>
      </c>
      <c r="K662">
        <v>8000000</v>
      </c>
      <c r="L662" t="s">
        <v>2353</v>
      </c>
      <c r="M662" t="s">
        <v>1209</v>
      </c>
      <c r="N662" t="s">
        <v>1210</v>
      </c>
      <c r="P662">
        <v>8000000</v>
      </c>
      <c r="Q662">
        <v>8000000</v>
      </c>
    </row>
    <row r="663" spans="1:17">
      <c r="A663" t="s">
        <v>2351</v>
      </c>
      <c r="B663" s="26">
        <v>42080</v>
      </c>
      <c r="C663" s="26">
        <v>42080</v>
      </c>
      <c r="D663" t="s">
        <v>1206</v>
      </c>
      <c r="E663" s="26"/>
      <c r="G663">
        <v>2014</v>
      </c>
      <c r="H663" t="s">
        <v>2352</v>
      </c>
      <c r="I663" t="s">
        <v>47</v>
      </c>
      <c r="J663" t="s">
        <v>640</v>
      </c>
      <c r="K663">
        <v>8000000</v>
      </c>
      <c r="L663" t="s">
        <v>2354</v>
      </c>
      <c r="M663" t="s">
        <v>1209</v>
      </c>
      <c r="N663" t="s">
        <v>1210</v>
      </c>
      <c r="P663">
        <v>8000000</v>
      </c>
      <c r="Q663">
        <v>8000000</v>
      </c>
    </row>
    <row r="664" spans="1:17">
      <c r="A664" t="s">
        <v>2351</v>
      </c>
      <c r="B664" s="26">
        <v>42080</v>
      </c>
      <c r="C664" s="26">
        <v>42080</v>
      </c>
      <c r="D664" t="s">
        <v>1206</v>
      </c>
      <c r="E664" s="26"/>
      <c r="G664">
        <v>2014</v>
      </c>
      <c r="H664" t="s">
        <v>2352</v>
      </c>
      <c r="I664" t="s">
        <v>47</v>
      </c>
      <c r="J664" t="s">
        <v>44</v>
      </c>
      <c r="K664">
        <v>8000000</v>
      </c>
      <c r="L664" t="s">
        <v>2355</v>
      </c>
      <c r="M664" t="s">
        <v>1209</v>
      </c>
      <c r="N664" t="s">
        <v>1210</v>
      </c>
      <c r="P664">
        <v>8000000</v>
      </c>
      <c r="Q664">
        <v>8000000</v>
      </c>
    </row>
    <row r="665" spans="1:17">
      <c r="A665" t="s">
        <v>2356</v>
      </c>
      <c r="B665" s="26">
        <v>41671</v>
      </c>
      <c r="C665" s="26">
        <v>41676</v>
      </c>
      <c r="D665" t="s">
        <v>1206</v>
      </c>
      <c r="E665" s="26"/>
      <c r="G665">
        <v>2012</v>
      </c>
      <c r="H665" t="s">
        <v>2357</v>
      </c>
      <c r="I665" t="s">
        <v>47</v>
      </c>
      <c r="J665" t="s">
        <v>35</v>
      </c>
      <c r="K665">
        <v>8900000</v>
      </c>
      <c r="L665" t="s">
        <v>2358</v>
      </c>
      <c r="M665" t="s">
        <v>1209</v>
      </c>
      <c r="N665" t="s">
        <v>1210</v>
      </c>
      <c r="P665">
        <v>8900000</v>
      </c>
      <c r="Q665">
        <v>27000000</v>
      </c>
    </row>
    <row r="666" spans="1:17">
      <c r="A666" t="s">
        <v>2356</v>
      </c>
      <c r="B666" s="26">
        <v>41671</v>
      </c>
      <c r="C666" s="26">
        <v>41676</v>
      </c>
      <c r="D666" t="s">
        <v>1206</v>
      </c>
      <c r="E666" s="26"/>
      <c r="G666">
        <v>2012</v>
      </c>
      <c r="H666" t="s">
        <v>2357</v>
      </c>
      <c r="I666" t="s">
        <v>47</v>
      </c>
      <c r="J666" t="s">
        <v>39</v>
      </c>
      <c r="K666">
        <v>8900000</v>
      </c>
      <c r="L666" t="s">
        <v>1708</v>
      </c>
      <c r="M666" t="s">
        <v>1209</v>
      </c>
      <c r="N666" t="s">
        <v>1210</v>
      </c>
      <c r="P666">
        <v>8900000</v>
      </c>
      <c r="Q666">
        <v>27000000</v>
      </c>
    </row>
    <row r="667" spans="1:17">
      <c r="A667" t="s">
        <v>2359</v>
      </c>
      <c r="B667" s="26">
        <v>43497</v>
      </c>
      <c r="C667" s="26">
        <v>43497</v>
      </c>
      <c r="D667" t="s">
        <v>939</v>
      </c>
      <c r="E667" s="26"/>
      <c r="G667">
        <v>2018</v>
      </c>
      <c r="H667" t="s">
        <v>2360</v>
      </c>
      <c r="I667" t="s">
        <v>47</v>
      </c>
      <c r="J667" t="s">
        <v>47</v>
      </c>
      <c r="K667" t="s">
        <v>2361</v>
      </c>
      <c r="L667" t="s">
        <v>2362</v>
      </c>
      <c r="M667" t="s">
        <v>2363</v>
      </c>
      <c r="N667" t="s">
        <v>963</v>
      </c>
      <c r="O667" t="s">
        <v>2361</v>
      </c>
      <c r="P667" t="s">
        <v>2361</v>
      </c>
    </row>
    <row r="668" spans="1:17">
      <c r="A668" t="s">
        <v>2364</v>
      </c>
      <c r="B668" s="26">
        <v>43866</v>
      </c>
      <c r="C668" s="26">
        <v>43866</v>
      </c>
      <c r="D668" t="s">
        <v>939</v>
      </c>
      <c r="E668" s="26"/>
      <c r="G668">
        <v>2019</v>
      </c>
      <c r="H668" t="s">
        <v>2365</v>
      </c>
      <c r="I668" t="s">
        <v>47</v>
      </c>
      <c r="J668" t="s">
        <v>47</v>
      </c>
      <c r="K668" t="s">
        <v>2366</v>
      </c>
      <c r="L668" t="s">
        <v>2367</v>
      </c>
      <c r="M668" t="s">
        <v>1214</v>
      </c>
      <c r="N668" t="s">
        <v>963</v>
      </c>
      <c r="O668" t="s">
        <v>2366</v>
      </c>
      <c r="P668" t="s">
        <v>2368</v>
      </c>
    </row>
    <row r="669" spans="1:17">
      <c r="A669" t="s">
        <v>2369</v>
      </c>
      <c r="B669" s="26">
        <v>42283</v>
      </c>
      <c r="C669" s="26">
        <v>42283</v>
      </c>
      <c r="D669" t="s">
        <v>1206</v>
      </c>
      <c r="E669" s="26"/>
      <c r="G669">
        <v>2014</v>
      </c>
      <c r="H669" t="s">
        <v>2370</v>
      </c>
      <c r="I669" t="s">
        <v>47</v>
      </c>
      <c r="J669" t="s">
        <v>35</v>
      </c>
      <c r="K669">
        <v>5700000</v>
      </c>
      <c r="L669" t="s">
        <v>2371</v>
      </c>
      <c r="M669" t="s">
        <v>1209</v>
      </c>
      <c r="N669" t="s">
        <v>1210</v>
      </c>
      <c r="P669">
        <v>5700000</v>
      </c>
      <c r="Q669">
        <v>5700000</v>
      </c>
    </row>
    <row r="670" spans="1:17">
      <c r="A670" t="s">
        <v>2372</v>
      </c>
      <c r="B670" s="26">
        <v>41918</v>
      </c>
      <c r="C670" s="26">
        <v>41918</v>
      </c>
      <c r="D670" t="s">
        <v>939</v>
      </c>
      <c r="E670" s="26"/>
      <c r="G670">
        <v>2013</v>
      </c>
      <c r="H670" t="s">
        <v>2373</v>
      </c>
      <c r="I670" t="s">
        <v>1294</v>
      </c>
      <c r="J670" t="s">
        <v>1294</v>
      </c>
      <c r="K670">
        <v>36796</v>
      </c>
      <c r="L670" t="s">
        <v>2374</v>
      </c>
      <c r="M670" t="s">
        <v>2375</v>
      </c>
      <c r="N670" t="s">
        <v>963</v>
      </c>
      <c r="O670">
        <v>36796</v>
      </c>
      <c r="P670">
        <v>36796</v>
      </c>
    </row>
    <row r="671" spans="1:17">
      <c r="A671" t="s">
        <v>2376</v>
      </c>
      <c r="B671" s="26">
        <v>43188</v>
      </c>
      <c r="C671" s="26">
        <v>43188</v>
      </c>
      <c r="D671" t="s">
        <v>939</v>
      </c>
      <c r="E671" s="26">
        <v>43186</v>
      </c>
      <c r="G671">
        <v>2018</v>
      </c>
      <c r="H671" t="s">
        <v>2377</v>
      </c>
      <c r="I671" t="s">
        <v>1294</v>
      </c>
      <c r="J671" t="s">
        <v>1294</v>
      </c>
      <c r="K671">
        <v>83677</v>
      </c>
      <c r="L671" t="s">
        <v>2378</v>
      </c>
      <c r="M671" t="s">
        <v>2375</v>
      </c>
      <c r="N671" t="s">
        <v>963</v>
      </c>
      <c r="P671">
        <v>83677</v>
      </c>
      <c r="Q671">
        <v>101250</v>
      </c>
    </row>
    <row r="672" spans="1:17">
      <c r="A672" t="s">
        <v>2379</v>
      </c>
      <c r="B672" s="26">
        <v>42341</v>
      </c>
      <c r="C672" s="26">
        <v>42341</v>
      </c>
      <c r="D672" t="s">
        <v>939</v>
      </c>
      <c r="E672" s="26"/>
      <c r="G672">
        <v>2015</v>
      </c>
      <c r="H672" t="s">
        <v>2380</v>
      </c>
      <c r="I672" t="s">
        <v>157</v>
      </c>
      <c r="J672" t="s">
        <v>157</v>
      </c>
      <c r="K672">
        <v>21450</v>
      </c>
      <c r="L672" t="s">
        <v>2381</v>
      </c>
      <c r="M672" t="s">
        <v>2382</v>
      </c>
      <c r="O672">
        <v>21450</v>
      </c>
    </row>
    <row r="673" spans="1:17">
      <c r="A673" t="s">
        <v>2383</v>
      </c>
      <c r="B673" s="26">
        <v>41074</v>
      </c>
      <c r="C673" s="26">
        <v>41074</v>
      </c>
      <c r="D673" t="s">
        <v>1206</v>
      </c>
      <c r="E673" s="26"/>
      <c r="G673">
        <v>2012</v>
      </c>
      <c r="H673" t="s">
        <v>1242</v>
      </c>
      <c r="I673" t="s">
        <v>39</v>
      </c>
      <c r="J673" t="s">
        <v>39</v>
      </c>
      <c r="K673">
        <v>42017</v>
      </c>
      <c r="L673" t="s">
        <v>1238</v>
      </c>
      <c r="M673" t="s">
        <v>1244</v>
      </c>
      <c r="N673" t="s">
        <v>963</v>
      </c>
      <c r="P673">
        <v>42017</v>
      </c>
      <c r="Q673">
        <v>42017</v>
      </c>
    </row>
    <row r="674" spans="1:17">
      <c r="A674" t="s">
        <v>2384</v>
      </c>
      <c r="B674" s="26">
        <v>41062</v>
      </c>
      <c r="C674" s="26">
        <v>41062</v>
      </c>
      <c r="D674" t="s">
        <v>1206</v>
      </c>
      <c r="E674" s="26"/>
      <c r="G674">
        <v>2012</v>
      </c>
      <c r="H674" t="s">
        <v>1242</v>
      </c>
      <c r="I674" t="s">
        <v>39</v>
      </c>
      <c r="J674" t="s">
        <v>39</v>
      </c>
      <c r="K674">
        <v>1092437</v>
      </c>
      <c r="L674" t="s">
        <v>1233</v>
      </c>
      <c r="M674" t="s">
        <v>1244</v>
      </c>
      <c r="N674" t="s">
        <v>963</v>
      </c>
      <c r="P674">
        <v>1092437</v>
      </c>
      <c r="Q674">
        <v>1092437</v>
      </c>
    </row>
    <row r="675" spans="1:17">
      <c r="A675" t="s">
        <v>2385</v>
      </c>
      <c r="B675" s="26">
        <v>41074</v>
      </c>
      <c r="C675" s="26">
        <v>41074</v>
      </c>
      <c r="D675" t="s">
        <v>1206</v>
      </c>
      <c r="E675" s="26"/>
      <c r="G675">
        <v>2012</v>
      </c>
      <c r="H675" t="s">
        <v>1242</v>
      </c>
      <c r="I675" t="s">
        <v>39</v>
      </c>
      <c r="J675" t="s">
        <v>39</v>
      </c>
      <c r="K675">
        <v>168067</v>
      </c>
      <c r="L675" t="s">
        <v>2088</v>
      </c>
      <c r="M675" t="s">
        <v>1244</v>
      </c>
      <c r="N675" t="s">
        <v>963</v>
      </c>
      <c r="P675">
        <v>168067</v>
      </c>
      <c r="Q675">
        <v>168067</v>
      </c>
    </row>
    <row r="676" spans="1:17">
      <c r="A676" t="s">
        <v>2386</v>
      </c>
      <c r="B676" s="26">
        <v>41424</v>
      </c>
      <c r="C676" s="26">
        <v>41424</v>
      </c>
      <c r="D676" t="s">
        <v>1206</v>
      </c>
      <c r="E676" s="26"/>
      <c r="G676">
        <v>2013</v>
      </c>
      <c r="H676" t="s">
        <v>1232</v>
      </c>
      <c r="I676" t="s">
        <v>39</v>
      </c>
      <c r="J676" t="s">
        <v>39</v>
      </c>
      <c r="K676">
        <v>840336</v>
      </c>
      <c r="L676" t="s">
        <v>2387</v>
      </c>
      <c r="M676" t="s">
        <v>1234</v>
      </c>
      <c r="N676" t="s">
        <v>963</v>
      </c>
      <c r="P676">
        <v>840336</v>
      </c>
      <c r="Q676">
        <v>840336</v>
      </c>
    </row>
    <row r="677" spans="1:17">
      <c r="A677" t="s">
        <v>2388</v>
      </c>
      <c r="B677" s="26">
        <v>41718</v>
      </c>
      <c r="C677" s="26">
        <v>41718</v>
      </c>
      <c r="D677" t="s">
        <v>1206</v>
      </c>
      <c r="E677" s="26"/>
      <c r="G677">
        <v>2014</v>
      </c>
      <c r="H677" t="s">
        <v>1236</v>
      </c>
      <c r="I677" t="s">
        <v>39</v>
      </c>
      <c r="J677" t="s">
        <v>39</v>
      </c>
      <c r="K677">
        <v>840336</v>
      </c>
      <c r="L677" t="s">
        <v>1238</v>
      </c>
      <c r="M677" t="s">
        <v>1234</v>
      </c>
      <c r="N677" t="s">
        <v>963</v>
      </c>
      <c r="P677">
        <v>840336</v>
      </c>
      <c r="Q677">
        <v>840336</v>
      </c>
    </row>
    <row r="678" spans="1:17">
      <c r="A678" t="s">
        <v>2389</v>
      </c>
      <c r="B678" s="26">
        <v>41100</v>
      </c>
      <c r="C678" s="26">
        <v>41100</v>
      </c>
      <c r="D678" t="s">
        <v>1206</v>
      </c>
      <c r="E678" s="26"/>
      <c r="G678">
        <v>2012</v>
      </c>
      <c r="H678" t="s">
        <v>1257</v>
      </c>
      <c r="I678" t="s">
        <v>39</v>
      </c>
      <c r="J678" t="s">
        <v>39</v>
      </c>
      <c r="K678">
        <v>1680672</v>
      </c>
      <c r="L678" t="s">
        <v>2390</v>
      </c>
      <c r="M678" t="s">
        <v>1244</v>
      </c>
      <c r="N678" t="s">
        <v>963</v>
      </c>
      <c r="P678">
        <v>1680672</v>
      </c>
      <c r="Q678">
        <v>1680672</v>
      </c>
    </row>
    <row r="679" spans="1:17">
      <c r="A679" t="s">
        <v>2391</v>
      </c>
      <c r="B679" s="26">
        <v>41074</v>
      </c>
      <c r="C679" s="26">
        <v>41074</v>
      </c>
      <c r="D679" t="s">
        <v>1206</v>
      </c>
      <c r="E679" s="26"/>
      <c r="G679">
        <v>2012</v>
      </c>
      <c r="H679" t="s">
        <v>1242</v>
      </c>
      <c r="I679" t="s">
        <v>39</v>
      </c>
      <c r="J679" t="s">
        <v>39</v>
      </c>
      <c r="K679">
        <v>12605</v>
      </c>
      <c r="L679" t="s">
        <v>1276</v>
      </c>
      <c r="M679" t="s">
        <v>1244</v>
      </c>
      <c r="N679" t="s">
        <v>963</v>
      </c>
      <c r="P679">
        <v>12605</v>
      </c>
      <c r="Q679">
        <v>12605</v>
      </c>
    </row>
    <row r="680" spans="1:17">
      <c r="A680" t="s">
        <v>2392</v>
      </c>
      <c r="B680" s="26">
        <v>41424</v>
      </c>
      <c r="C680" s="26">
        <v>41424</v>
      </c>
      <c r="D680" t="s">
        <v>1206</v>
      </c>
      <c r="E680" s="26"/>
      <c r="G680">
        <v>2013</v>
      </c>
      <c r="H680" t="s">
        <v>1232</v>
      </c>
      <c r="I680" t="s">
        <v>39</v>
      </c>
      <c r="J680" t="s">
        <v>39</v>
      </c>
      <c r="K680">
        <v>84034</v>
      </c>
      <c r="L680" t="s">
        <v>1264</v>
      </c>
      <c r="M680" t="s">
        <v>1234</v>
      </c>
      <c r="N680" t="s">
        <v>963</v>
      </c>
      <c r="P680">
        <v>84034</v>
      </c>
      <c r="Q680">
        <v>84034</v>
      </c>
    </row>
    <row r="681" spans="1:17">
      <c r="A681" t="s">
        <v>2393</v>
      </c>
      <c r="B681" s="26">
        <v>40942</v>
      </c>
      <c r="C681" s="26">
        <v>40942</v>
      </c>
      <c r="D681" t="s">
        <v>939</v>
      </c>
      <c r="E681" s="26"/>
      <c r="G681">
        <v>2011</v>
      </c>
      <c r="H681" t="s">
        <v>2394</v>
      </c>
      <c r="I681" t="s">
        <v>39</v>
      </c>
      <c r="J681" t="s">
        <v>39</v>
      </c>
      <c r="K681">
        <v>148009</v>
      </c>
      <c r="L681" t="s">
        <v>1251</v>
      </c>
      <c r="M681" t="s">
        <v>1244</v>
      </c>
      <c r="N681" t="s">
        <v>963</v>
      </c>
      <c r="O681">
        <v>148009</v>
      </c>
      <c r="P681">
        <v>148009</v>
      </c>
    </row>
    <row r="682" spans="1:17">
      <c r="A682" t="s">
        <v>2395</v>
      </c>
      <c r="B682" s="26">
        <v>41062</v>
      </c>
      <c r="C682" s="26">
        <v>41062</v>
      </c>
      <c r="D682" t="s">
        <v>1206</v>
      </c>
      <c r="E682" s="26"/>
      <c r="G682">
        <v>2012</v>
      </c>
      <c r="H682" t="s">
        <v>1242</v>
      </c>
      <c r="I682" t="s">
        <v>39</v>
      </c>
      <c r="J682" t="s">
        <v>39</v>
      </c>
      <c r="K682">
        <v>2941176</v>
      </c>
      <c r="L682" t="s">
        <v>1248</v>
      </c>
      <c r="M682" t="s">
        <v>1244</v>
      </c>
      <c r="N682" t="s">
        <v>963</v>
      </c>
      <c r="P682">
        <v>2941176</v>
      </c>
      <c r="Q682">
        <v>2941176</v>
      </c>
    </row>
    <row r="683" spans="1:17">
      <c r="A683" t="s">
        <v>2396</v>
      </c>
      <c r="B683" s="26">
        <v>41074</v>
      </c>
      <c r="C683" s="26">
        <v>41074</v>
      </c>
      <c r="D683" t="s">
        <v>1206</v>
      </c>
      <c r="E683" s="26"/>
      <c r="G683">
        <v>2012</v>
      </c>
      <c r="H683" t="s">
        <v>1242</v>
      </c>
      <c r="I683" t="s">
        <v>39</v>
      </c>
      <c r="J683" t="s">
        <v>39</v>
      </c>
      <c r="K683">
        <v>546218</v>
      </c>
      <c r="L683" t="s">
        <v>1278</v>
      </c>
      <c r="M683" t="s">
        <v>1244</v>
      </c>
      <c r="N683" t="s">
        <v>963</v>
      </c>
      <c r="P683">
        <v>546218</v>
      </c>
      <c r="Q683">
        <v>546218</v>
      </c>
    </row>
    <row r="684" spans="1:17">
      <c r="A684" t="s">
        <v>2397</v>
      </c>
      <c r="B684" s="26">
        <v>41101</v>
      </c>
      <c r="C684" s="26">
        <v>41101</v>
      </c>
      <c r="D684" t="s">
        <v>1206</v>
      </c>
      <c r="E684" s="26"/>
      <c r="G684">
        <v>2012</v>
      </c>
      <c r="H684" t="s">
        <v>1257</v>
      </c>
      <c r="I684" t="s">
        <v>39</v>
      </c>
      <c r="J684" t="s">
        <v>39</v>
      </c>
      <c r="K684">
        <v>6302521</v>
      </c>
      <c r="L684" t="s">
        <v>2398</v>
      </c>
      <c r="M684" t="s">
        <v>1244</v>
      </c>
      <c r="N684" t="s">
        <v>963</v>
      </c>
      <c r="P684">
        <v>6302521</v>
      </c>
      <c r="Q684">
        <v>6302521</v>
      </c>
    </row>
    <row r="685" spans="1:17">
      <c r="A685" t="s">
        <v>2399</v>
      </c>
      <c r="B685" s="26">
        <v>41074</v>
      </c>
      <c r="C685" s="26">
        <v>41074</v>
      </c>
      <c r="D685" t="s">
        <v>1206</v>
      </c>
      <c r="E685" s="26"/>
      <c r="G685">
        <v>2012</v>
      </c>
      <c r="H685" t="s">
        <v>1242</v>
      </c>
      <c r="I685" t="s">
        <v>39</v>
      </c>
      <c r="J685" t="s">
        <v>41</v>
      </c>
      <c r="K685">
        <v>294118</v>
      </c>
      <c r="L685" t="s">
        <v>1671</v>
      </c>
      <c r="M685" t="s">
        <v>1244</v>
      </c>
      <c r="N685" t="s">
        <v>963</v>
      </c>
      <c r="P685">
        <v>294118</v>
      </c>
      <c r="Q685">
        <v>294118</v>
      </c>
    </row>
    <row r="686" spans="1:17">
      <c r="A686" t="s">
        <v>2400</v>
      </c>
      <c r="B686" s="26">
        <v>41480</v>
      </c>
      <c r="C686" s="26">
        <v>41480</v>
      </c>
      <c r="D686" t="s">
        <v>1206</v>
      </c>
      <c r="E686" s="26"/>
      <c r="G686">
        <v>2013</v>
      </c>
      <c r="H686" t="s">
        <v>1232</v>
      </c>
      <c r="I686" t="s">
        <v>39</v>
      </c>
      <c r="J686" t="s">
        <v>39</v>
      </c>
      <c r="K686">
        <v>84034</v>
      </c>
      <c r="L686" t="s">
        <v>1238</v>
      </c>
      <c r="M686" t="s">
        <v>1234</v>
      </c>
      <c r="N686" t="s">
        <v>963</v>
      </c>
      <c r="P686">
        <v>84034</v>
      </c>
      <c r="Q686">
        <v>84034</v>
      </c>
    </row>
    <row r="687" spans="1:17">
      <c r="A687" t="s">
        <v>2401</v>
      </c>
      <c r="B687" s="26">
        <v>41804</v>
      </c>
      <c r="C687" s="26">
        <v>41804</v>
      </c>
      <c r="D687" t="s">
        <v>1206</v>
      </c>
      <c r="E687" s="26"/>
      <c r="G687">
        <v>2014</v>
      </c>
      <c r="H687" t="s">
        <v>1236</v>
      </c>
      <c r="I687" t="s">
        <v>39</v>
      </c>
      <c r="J687" t="s">
        <v>39</v>
      </c>
      <c r="K687">
        <v>42017</v>
      </c>
      <c r="L687" t="s">
        <v>2102</v>
      </c>
      <c r="M687" t="s">
        <v>1234</v>
      </c>
      <c r="N687" t="s">
        <v>963</v>
      </c>
      <c r="P687">
        <v>42017</v>
      </c>
      <c r="Q687">
        <v>42017</v>
      </c>
    </row>
    <row r="688" spans="1:17">
      <c r="A688" t="s">
        <v>2402</v>
      </c>
      <c r="B688" s="26">
        <v>43273</v>
      </c>
      <c r="C688" s="26">
        <v>43273</v>
      </c>
      <c r="D688" t="s">
        <v>939</v>
      </c>
      <c r="E688" s="26"/>
      <c r="G688">
        <v>2018</v>
      </c>
      <c r="H688" t="s">
        <v>2403</v>
      </c>
      <c r="I688" t="s">
        <v>39</v>
      </c>
      <c r="J688" t="s">
        <v>39</v>
      </c>
      <c r="K688" t="s">
        <v>953</v>
      </c>
      <c r="L688" t="s">
        <v>2404</v>
      </c>
      <c r="M688" t="s">
        <v>1234</v>
      </c>
      <c r="N688" t="s">
        <v>963</v>
      </c>
    </row>
    <row r="689" spans="1:17">
      <c r="A689" t="s">
        <v>2405</v>
      </c>
      <c r="B689" s="26">
        <v>41356</v>
      </c>
      <c r="C689" s="26">
        <v>41356</v>
      </c>
      <c r="D689" t="s">
        <v>939</v>
      </c>
      <c r="E689" s="26"/>
      <c r="G689">
        <v>2013</v>
      </c>
      <c r="H689" t="s">
        <v>2406</v>
      </c>
      <c r="I689" t="s">
        <v>39</v>
      </c>
      <c r="J689" t="s">
        <v>65</v>
      </c>
      <c r="K689">
        <v>178800</v>
      </c>
      <c r="L689" t="s">
        <v>1240</v>
      </c>
      <c r="M689" t="s">
        <v>1234</v>
      </c>
      <c r="N689" t="s">
        <v>963</v>
      </c>
      <c r="O689">
        <v>178800</v>
      </c>
      <c r="P689">
        <v>178808</v>
      </c>
    </row>
    <row r="690" spans="1:17">
      <c r="A690" t="s">
        <v>2407</v>
      </c>
      <c r="B690" s="26">
        <v>41804</v>
      </c>
      <c r="C690" s="26">
        <v>41804</v>
      </c>
      <c r="D690" t="s">
        <v>1206</v>
      </c>
      <c r="E690" s="26"/>
      <c r="G690">
        <v>2014</v>
      </c>
      <c r="H690" t="s">
        <v>1236</v>
      </c>
      <c r="I690" t="s">
        <v>39</v>
      </c>
      <c r="J690" t="s">
        <v>39</v>
      </c>
      <c r="K690">
        <v>210084</v>
      </c>
      <c r="L690" t="s">
        <v>1667</v>
      </c>
      <c r="M690" t="s">
        <v>1234</v>
      </c>
      <c r="N690" t="s">
        <v>963</v>
      </c>
      <c r="P690">
        <v>210084</v>
      </c>
      <c r="Q690">
        <v>210084</v>
      </c>
    </row>
    <row r="691" spans="1:17">
      <c r="A691" t="s">
        <v>2408</v>
      </c>
      <c r="B691" s="26">
        <v>42154</v>
      </c>
      <c r="C691" s="26">
        <v>42154</v>
      </c>
      <c r="D691" t="s">
        <v>1206</v>
      </c>
      <c r="E691" s="26"/>
      <c r="G691">
        <v>2015</v>
      </c>
      <c r="H691" t="s">
        <v>2409</v>
      </c>
      <c r="I691" t="s">
        <v>80</v>
      </c>
      <c r="J691" t="s">
        <v>61</v>
      </c>
      <c r="K691">
        <v>2500000</v>
      </c>
      <c r="L691" t="s">
        <v>1712</v>
      </c>
      <c r="M691" t="s">
        <v>1709</v>
      </c>
      <c r="N691" t="s">
        <v>1210</v>
      </c>
      <c r="P691">
        <v>2500000</v>
      </c>
      <c r="Q691">
        <v>2500000</v>
      </c>
    </row>
    <row r="692" spans="1:17">
      <c r="A692" t="s">
        <v>2410</v>
      </c>
      <c r="B692" s="26">
        <v>41151</v>
      </c>
      <c r="C692" s="26">
        <v>41151</v>
      </c>
      <c r="D692" t="s">
        <v>1206</v>
      </c>
      <c r="E692" s="26"/>
      <c r="G692">
        <v>2012</v>
      </c>
      <c r="H692" t="s">
        <v>1242</v>
      </c>
      <c r="I692" t="s">
        <v>39</v>
      </c>
      <c r="J692" t="s">
        <v>39</v>
      </c>
      <c r="K692">
        <v>252101</v>
      </c>
      <c r="L692" t="s">
        <v>2411</v>
      </c>
      <c r="M692" t="s">
        <v>1244</v>
      </c>
      <c r="N692" t="s">
        <v>963</v>
      </c>
      <c r="P692">
        <v>252101</v>
      </c>
      <c r="Q692">
        <v>252101</v>
      </c>
    </row>
    <row r="693" spans="1:17">
      <c r="A693" t="s">
        <v>2412</v>
      </c>
      <c r="B693" s="26"/>
      <c r="C693" s="26"/>
      <c r="D693" t="s">
        <v>939</v>
      </c>
      <c r="E693" s="26"/>
      <c r="G693">
        <v>2021</v>
      </c>
      <c r="H693" t="s">
        <v>2413</v>
      </c>
      <c r="I693" t="s">
        <v>44</v>
      </c>
      <c r="K693">
        <v>6000</v>
      </c>
      <c r="L693" t="s">
        <v>2123</v>
      </c>
      <c r="M693" t="s">
        <v>2124</v>
      </c>
      <c r="N693" t="s">
        <v>963</v>
      </c>
      <c r="O693">
        <v>6000</v>
      </c>
      <c r="P693">
        <v>6000</v>
      </c>
      <c r="Q693">
        <v>6000</v>
      </c>
    </row>
    <row r="694" spans="1:17">
      <c r="A694" t="s">
        <v>2414</v>
      </c>
      <c r="B694" s="26">
        <v>44615</v>
      </c>
      <c r="C694" s="26">
        <v>44624</v>
      </c>
      <c r="D694" t="s">
        <v>939</v>
      </c>
      <c r="E694" s="26"/>
      <c r="G694">
        <v>2022</v>
      </c>
      <c r="H694" t="s">
        <v>2415</v>
      </c>
      <c r="I694" t="s">
        <v>44</v>
      </c>
      <c r="K694" t="s">
        <v>2416</v>
      </c>
      <c r="L694" t="s">
        <v>2417</v>
      </c>
      <c r="M694" t="s">
        <v>2418</v>
      </c>
      <c r="N694" t="s">
        <v>963</v>
      </c>
      <c r="O694" t="s">
        <v>2416</v>
      </c>
      <c r="P694">
        <v>60000</v>
      </c>
      <c r="Q694">
        <v>60000</v>
      </c>
    </row>
    <row r="695" spans="1:17">
      <c r="A695" t="s">
        <v>2419</v>
      </c>
      <c r="B695" s="26"/>
      <c r="C695" s="26"/>
      <c r="D695" t="s">
        <v>939</v>
      </c>
      <c r="E695" s="26"/>
      <c r="G695">
        <v>2021</v>
      </c>
      <c r="H695" t="s">
        <v>2420</v>
      </c>
      <c r="I695" t="s">
        <v>44</v>
      </c>
      <c r="K695">
        <v>29360</v>
      </c>
      <c r="L695" t="s">
        <v>2421</v>
      </c>
      <c r="M695" t="s">
        <v>2422</v>
      </c>
      <c r="N695" t="s">
        <v>963</v>
      </c>
      <c r="O695">
        <v>29360</v>
      </c>
      <c r="P695">
        <v>40000</v>
      </c>
      <c r="Q695">
        <v>40000</v>
      </c>
    </row>
    <row r="696" spans="1:17">
      <c r="A696" t="s">
        <v>2423</v>
      </c>
      <c r="B696" s="26">
        <v>42035</v>
      </c>
      <c r="C696" s="26">
        <v>42035</v>
      </c>
      <c r="D696" t="s">
        <v>939</v>
      </c>
      <c r="E696" s="26"/>
      <c r="G696">
        <v>2012</v>
      </c>
      <c r="H696" t="s">
        <v>2424</v>
      </c>
      <c r="I696" t="s">
        <v>35</v>
      </c>
      <c r="J696" t="s">
        <v>35</v>
      </c>
      <c r="K696">
        <v>490910</v>
      </c>
      <c r="L696" t="s">
        <v>2425</v>
      </c>
      <c r="M696" t="s">
        <v>2426</v>
      </c>
      <c r="N696" t="s">
        <v>963</v>
      </c>
      <c r="O696">
        <v>490910</v>
      </c>
    </row>
    <row r="697" spans="1:17">
      <c r="A697" t="s">
        <v>2427</v>
      </c>
      <c r="B697" s="26">
        <v>43502</v>
      </c>
      <c r="C697" s="26">
        <v>43502</v>
      </c>
      <c r="D697" t="s">
        <v>939</v>
      </c>
      <c r="E697" s="26"/>
      <c r="G697">
        <v>2019</v>
      </c>
      <c r="H697" t="s">
        <v>2428</v>
      </c>
      <c r="I697" t="s">
        <v>136</v>
      </c>
      <c r="J697" t="s">
        <v>156</v>
      </c>
      <c r="K697">
        <v>4302764</v>
      </c>
      <c r="L697" t="s">
        <v>2429</v>
      </c>
      <c r="M697" t="s">
        <v>1367</v>
      </c>
      <c r="N697" t="s">
        <v>963</v>
      </c>
      <c r="O697">
        <v>4302764</v>
      </c>
      <c r="P697">
        <v>439058</v>
      </c>
    </row>
    <row r="698" spans="1:17">
      <c r="A698" t="s">
        <v>2430</v>
      </c>
      <c r="B698" s="26">
        <v>42000</v>
      </c>
      <c r="C698" s="26">
        <v>42000</v>
      </c>
      <c r="D698" t="s">
        <v>939</v>
      </c>
      <c r="E698" s="26"/>
      <c r="G698">
        <v>2014</v>
      </c>
      <c r="H698" t="s">
        <v>2431</v>
      </c>
      <c r="I698" t="s">
        <v>136</v>
      </c>
      <c r="J698" t="s">
        <v>41</v>
      </c>
      <c r="K698">
        <v>218758</v>
      </c>
      <c r="L698" t="s">
        <v>2432</v>
      </c>
      <c r="M698" t="s">
        <v>1741</v>
      </c>
      <c r="N698" t="s">
        <v>963</v>
      </c>
      <c r="O698">
        <v>218758</v>
      </c>
    </row>
    <row r="699" spans="1:17">
      <c r="A699" t="s">
        <v>2433</v>
      </c>
      <c r="B699" s="26">
        <v>43194</v>
      </c>
      <c r="C699" s="26">
        <v>43237</v>
      </c>
      <c r="D699" t="s">
        <v>939</v>
      </c>
      <c r="E699" s="26"/>
      <c r="G699">
        <v>2018</v>
      </c>
      <c r="H699" t="s">
        <v>2434</v>
      </c>
      <c r="I699" t="s">
        <v>136</v>
      </c>
      <c r="J699" t="s">
        <v>156</v>
      </c>
      <c r="K699">
        <v>7799770</v>
      </c>
      <c r="L699" t="s">
        <v>2435</v>
      </c>
      <c r="M699" t="s">
        <v>1367</v>
      </c>
      <c r="N699" t="s">
        <v>963</v>
      </c>
      <c r="O699">
        <v>7799770</v>
      </c>
      <c r="P699">
        <v>7799770</v>
      </c>
    </row>
    <row r="700" spans="1:17">
      <c r="A700" t="s">
        <v>2436</v>
      </c>
      <c r="B700" s="26">
        <v>41733</v>
      </c>
      <c r="C700" s="26">
        <v>41733</v>
      </c>
      <c r="D700" t="s">
        <v>939</v>
      </c>
      <c r="E700" s="26"/>
      <c r="G700">
        <v>2014</v>
      </c>
      <c r="H700" t="s">
        <v>2437</v>
      </c>
      <c r="I700" t="s">
        <v>331</v>
      </c>
      <c r="J700" t="s">
        <v>331</v>
      </c>
      <c r="K700">
        <v>1193312</v>
      </c>
      <c r="L700" t="s">
        <v>1747</v>
      </c>
      <c r="M700" t="s">
        <v>1751</v>
      </c>
      <c r="N700" t="s">
        <v>1310</v>
      </c>
      <c r="O700">
        <v>1193312</v>
      </c>
      <c r="P700">
        <v>1193312</v>
      </c>
    </row>
    <row r="701" spans="1:17">
      <c r="A701" t="s">
        <v>2438</v>
      </c>
      <c r="B701" s="26">
        <v>43046</v>
      </c>
      <c r="C701" s="26">
        <v>43046</v>
      </c>
      <c r="D701" t="s">
        <v>939</v>
      </c>
      <c r="E701" s="26"/>
      <c r="G701">
        <v>2017</v>
      </c>
      <c r="H701" t="s">
        <v>2439</v>
      </c>
      <c r="I701" t="s">
        <v>331</v>
      </c>
      <c r="J701" t="s">
        <v>156</v>
      </c>
      <c r="K701">
        <v>23621</v>
      </c>
      <c r="L701" t="s">
        <v>1760</v>
      </c>
      <c r="M701" t="s">
        <v>1378</v>
      </c>
      <c r="N701" t="s">
        <v>963</v>
      </c>
      <c r="O701">
        <v>23621</v>
      </c>
      <c r="P701">
        <v>867430</v>
      </c>
    </row>
    <row r="702" spans="1:17">
      <c r="A702" t="s">
        <v>2438</v>
      </c>
      <c r="B702" s="26">
        <v>43046</v>
      </c>
      <c r="C702" s="26">
        <v>43046</v>
      </c>
      <c r="D702" t="s">
        <v>939</v>
      </c>
      <c r="E702" s="26"/>
      <c r="G702">
        <v>2017</v>
      </c>
      <c r="H702" t="s">
        <v>2439</v>
      </c>
      <c r="I702" t="s">
        <v>331</v>
      </c>
      <c r="J702" t="s">
        <v>156</v>
      </c>
      <c r="K702">
        <v>445080</v>
      </c>
      <c r="L702" t="s">
        <v>1393</v>
      </c>
      <c r="M702" t="s">
        <v>1378</v>
      </c>
      <c r="N702" t="s">
        <v>963</v>
      </c>
      <c r="O702">
        <v>445080</v>
      </c>
      <c r="P702">
        <v>867430</v>
      </c>
    </row>
    <row r="703" spans="1:17">
      <c r="A703" t="s">
        <v>2438</v>
      </c>
      <c r="B703" s="26">
        <v>43046</v>
      </c>
      <c r="C703" s="26">
        <v>43046</v>
      </c>
      <c r="D703" t="s">
        <v>939</v>
      </c>
      <c r="E703" s="26"/>
      <c r="G703">
        <v>2017</v>
      </c>
      <c r="H703" t="s">
        <v>2439</v>
      </c>
      <c r="I703" t="s">
        <v>331</v>
      </c>
      <c r="J703" t="s">
        <v>156</v>
      </c>
      <c r="K703">
        <v>12417</v>
      </c>
      <c r="L703" t="s">
        <v>2440</v>
      </c>
      <c r="M703" t="s">
        <v>1378</v>
      </c>
      <c r="N703" t="s">
        <v>963</v>
      </c>
      <c r="O703">
        <v>12417</v>
      </c>
      <c r="P703">
        <v>867430</v>
      </c>
    </row>
    <row r="704" spans="1:17">
      <c r="A704" t="s">
        <v>2438</v>
      </c>
      <c r="B704" s="26">
        <v>43046</v>
      </c>
      <c r="C704" s="26">
        <v>43046</v>
      </c>
      <c r="D704" t="s">
        <v>939</v>
      </c>
      <c r="E704" s="26"/>
      <c r="G704">
        <v>2017</v>
      </c>
      <c r="H704" t="s">
        <v>2439</v>
      </c>
      <c r="I704" t="s">
        <v>331</v>
      </c>
      <c r="J704" t="s">
        <v>156</v>
      </c>
      <c r="K704">
        <v>386312</v>
      </c>
      <c r="L704" t="s">
        <v>1381</v>
      </c>
      <c r="M704" t="s">
        <v>1378</v>
      </c>
      <c r="N704" t="s">
        <v>963</v>
      </c>
      <c r="O704">
        <v>386312</v>
      </c>
      <c r="P704">
        <v>867430</v>
      </c>
    </row>
    <row r="705" spans="1:14">
      <c r="A705" t="s">
        <v>2441</v>
      </c>
      <c r="B705" s="26">
        <v>44732</v>
      </c>
      <c r="C705" s="26">
        <v>44732</v>
      </c>
      <c r="D705" t="s">
        <v>939</v>
      </c>
      <c r="E705" s="26"/>
      <c r="G705">
        <v>2021</v>
      </c>
      <c r="H705" t="s">
        <v>2442</v>
      </c>
      <c r="I705" t="s">
        <v>331</v>
      </c>
      <c r="J705" t="s">
        <v>157</v>
      </c>
      <c r="K705" t="s">
        <v>953</v>
      </c>
      <c r="L705" t="s">
        <v>1400</v>
      </c>
      <c r="M705" t="s">
        <v>1378</v>
      </c>
      <c r="N705" t="s">
        <v>963</v>
      </c>
    </row>
    <row r="706" spans="1:14">
      <c r="A706" t="s">
        <v>2441</v>
      </c>
      <c r="B706" s="26">
        <v>44732</v>
      </c>
      <c r="C706" s="26">
        <v>44732</v>
      </c>
      <c r="D706" t="s">
        <v>939</v>
      </c>
      <c r="E706" s="26"/>
      <c r="G706">
        <v>2021</v>
      </c>
      <c r="H706" t="s">
        <v>2442</v>
      </c>
      <c r="I706" t="s">
        <v>331</v>
      </c>
      <c r="J706" t="s">
        <v>157</v>
      </c>
      <c r="K706" t="s">
        <v>953</v>
      </c>
      <c r="L706" t="s">
        <v>2443</v>
      </c>
      <c r="M706" t="s">
        <v>1378</v>
      </c>
      <c r="N706" t="s">
        <v>963</v>
      </c>
    </row>
    <row r="707" spans="1:14">
      <c r="A707" t="s">
        <v>2441</v>
      </c>
      <c r="B707" s="26">
        <v>44732</v>
      </c>
      <c r="C707" s="26">
        <v>44732</v>
      </c>
      <c r="D707" t="s">
        <v>939</v>
      </c>
      <c r="E707" s="26"/>
      <c r="G707">
        <v>2021</v>
      </c>
      <c r="H707" t="s">
        <v>2442</v>
      </c>
      <c r="I707" t="s">
        <v>331</v>
      </c>
      <c r="J707" t="s">
        <v>41</v>
      </c>
      <c r="K707" t="s">
        <v>953</v>
      </c>
      <c r="L707" t="s">
        <v>1399</v>
      </c>
      <c r="M707" t="s">
        <v>1378</v>
      </c>
      <c r="N707" t="s">
        <v>963</v>
      </c>
    </row>
    <row r="708" spans="1:14">
      <c r="A708" t="s">
        <v>2441</v>
      </c>
      <c r="B708" s="26">
        <v>44732</v>
      </c>
      <c r="C708" s="26">
        <v>44732</v>
      </c>
      <c r="D708" t="s">
        <v>939</v>
      </c>
      <c r="E708" s="26"/>
      <c r="G708">
        <v>2021</v>
      </c>
      <c r="H708" t="s">
        <v>2442</v>
      </c>
      <c r="I708" t="s">
        <v>331</v>
      </c>
      <c r="J708" t="s">
        <v>157</v>
      </c>
      <c r="K708" t="s">
        <v>953</v>
      </c>
      <c r="L708" t="s">
        <v>2444</v>
      </c>
      <c r="M708" t="s">
        <v>1378</v>
      </c>
      <c r="N708" t="s">
        <v>963</v>
      </c>
    </row>
    <row r="709" spans="1:14">
      <c r="A709" t="s">
        <v>2441</v>
      </c>
      <c r="B709" s="26">
        <v>44732</v>
      </c>
      <c r="C709" s="26">
        <v>44732</v>
      </c>
      <c r="D709" t="s">
        <v>939</v>
      </c>
      <c r="E709" s="26"/>
      <c r="G709">
        <v>2021</v>
      </c>
      <c r="H709" t="s">
        <v>2442</v>
      </c>
      <c r="I709" t="s">
        <v>331</v>
      </c>
      <c r="J709" t="s">
        <v>157</v>
      </c>
      <c r="K709" t="s">
        <v>953</v>
      </c>
      <c r="L709" t="s">
        <v>1397</v>
      </c>
      <c r="M709" t="s">
        <v>1378</v>
      </c>
      <c r="N709" t="s">
        <v>963</v>
      </c>
    </row>
    <row r="710" spans="1:14">
      <c r="A710" t="s">
        <v>2441</v>
      </c>
      <c r="B710" s="26">
        <v>44732</v>
      </c>
      <c r="C710" s="26">
        <v>44732</v>
      </c>
      <c r="D710" t="s">
        <v>939</v>
      </c>
      <c r="E710" s="26"/>
      <c r="G710">
        <v>2021</v>
      </c>
      <c r="H710" t="s">
        <v>2442</v>
      </c>
      <c r="I710" t="s">
        <v>331</v>
      </c>
      <c r="J710" t="s">
        <v>156</v>
      </c>
      <c r="K710" t="s">
        <v>953</v>
      </c>
      <c r="L710" t="s">
        <v>2445</v>
      </c>
      <c r="M710" t="s">
        <v>1378</v>
      </c>
      <c r="N710" t="s">
        <v>963</v>
      </c>
    </row>
    <row r="711" spans="1:14">
      <c r="A711" t="s">
        <v>2441</v>
      </c>
      <c r="B711" s="26">
        <v>44732</v>
      </c>
      <c r="C711" s="26">
        <v>44732</v>
      </c>
      <c r="D711" t="s">
        <v>939</v>
      </c>
      <c r="E711" s="26"/>
      <c r="G711">
        <v>2021</v>
      </c>
      <c r="H711" t="s">
        <v>2442</v>
      </c>
      <c r="I711" t="s">
        <v>331</v>
      </c>
      <c r="J711" t="s">
        <v>41</v>
      </c>
      <c r="K711" t="s">
        <v>953</v>
      </c>
      <c r="L711" t="s">
        <v>2446</v>
      </c>
      <c r="M711" t="s">
        <v>1378</v>
      </c>
      <c r="N711" t="s">
        <v>963</v>
      </c>
    </row>
    <row r="712" spans="1:14">
      <c r="A712" t="s">
        <v>2441</v>
      </c>
      <c r="B712" s="26">
        <v>44732</v>
      </c>
      <c r="C712" s="26">
        <v>44732</v>
      </c>
      <c r="D712" t="s">
        <v>939</v>
      </c>
      <c r="E712" s="26"/>
      <c r="G712">
        <v>2021</v>
      </c>
      <c r="H712" t="s">
        <v>2442</v>
      </c>
      <c r="I712" t="s">
        <v>331</v>
      </c>
      <c r="J712" t="s">
        <v>157</v>
      </c>
      <c r="K712" t="s">
        <v>953</v>
      </c>
      <c r="L712" t="s">
        <v>1401</v>
      </c>
      <c r="M712" t="s">
        <v>1378</v>
      </c>
      <c r="N712" t="s">
        <v>963</v>
      </c>
    </row>
    <row r="713" spans="1:14">
      <c r="A713" t="s">
        <v>2441</v>
      </c>
      <c r="B713" s="26">
        <v>44732</v>
      </c>
      <c r="C713" s="26">
        <v>44732</v>
      </c>
      <c r="D713" t="s">
        <v>939</v>
      </c>
      <c r="E713" s="26"/>
      <c r="G713">
        <v>2021</v>
      </c>
      <c r="H713" t="s">
        <v>2442</v>
      </c>
      <c r="I713" t="s">
        <v>331</v>
      </c>
      <c r="J713" t="s">
        <v>157</v>
      </c>
      <c r="K713" t="s">
        <v>953</v>
      </c>
      <c r="L713" t="s">
        <v>2447</v>
      </c>
      <c r="M713" t="s">
        <v>1378</v>
      </c>
      <c r="N713" t="s">
        <v>963</v>
      </c>
    </row>
    <row r="714" spans="1:14">
      <c r="A714" t="s">
        <v>2441</v>
      </c>
      <c r="B714" s="26">
        <v>44732</v>
      </c>
      <c r="C714" s="26">
        <v>44732</v>
      </c>
      <c r="D714" t="s">
        <v>939</v>
      </c>
      <c r="E714" s="26"/>
      <c r="G714">
        <v>2021</v>
      </c>
      <c r="H714" t="s">
        <v>2442</v>
      </c>
      <c r="I714" t="s">
        <v>331</v>
      </c>
      <c r="J714" t="s">
        <v>35</v>
      </c>
      <c r="K714" t="s">
        <v>953</v>
      </c>
      <c r="L714" t="s">
        <v>2448</v>
      </c>
      <c r="M714" t="s">
        <v>1378</v>
      </c>
      <c r="N714" t="s">
        <v>963</v>
      </c>
    </row>
    <row r="715" spans="1:14">
      <c r="A715" t="s">
        <v>2449</v>
      </c>
      <c r="B715" s="26">
        <v>44550</v>
      </c>
      <c r="C715" s="26">
        <v>44550</v>
      </c>
      <c r="D715" t="s">
        <v>939</v>
      </c>
      <c r="E715" s="26"/>
      <c r="G715">
        <v>2021</v>
      </c>
      <c r="H715" t="s">
        <v>2450</v>
      </c>
      <c r="I715" t="s">
        <v>331</v>
      </c>
      <c r="J715" t="s">
        <v>157</v>
      </c>
      <c r="K715" t="s">
        <v>953</v>
      </c>
      <c r="L715" t="s">
        <v>2451</v>
      </c>
      <c r="M715" t="s">
        <v>1751</v>
      </c>
      <c r="N715" t="s">
        <v>963</v>
      </c>
    </row>
    <row r="716" spans="1:14">
      <c r="A716" t="s">
        <v>2449</v>
      </c>
      <c r="B716" s="26">
        <v>44550</v>
      </c>
      <c r="C716" s="26">
        <v>44550</v>
      </c>
      <c r="D716" t="s">
        <v>939</v>
      </c>
      <c r="E716" s="26"/>
      <c r="G716">
        <v>2021</v>
      </c>
      <c r="H716" t="s">
        <v>2450</v>
      </c>
      <c r="I716" t="s">
        <v>331</v>
      </c>
      <c r="J716" t="s">
        <v>157</v>
      </c>
      <c r="K716" t="s">
        <v>953</v>
      </c>
      <c r="L716" t="s">
        <v>2452</v>
      </c>
      <c r="M716" t="s">
        <v>1751</v>
      </c>
      <c r="N716" t="s">
        <v>963</v>
      </c>
    </row>
    <row r="717" spans="1:14">
      <c r="A717" t="s">
        <v>2449</v>
      </c>
      <c r="B717" s="26">
        <v>44550</v>
      </c>
      <c r="C717" s="26">
        <v>44550</v>
      </c>
      <c r="D717" t="s">
        <v>939</v>
      </c>
      <c r="E717" s="26"/>
      <c r="G717">
        <v>2021</v>
      </c>
      <c r="H717" t="s">
        <v>2450</v>
      </c>
      <c r="I717" t="s">
        <v>331</v>
      </c>
      <c r="J717" t="s">
        <v>41</v>
      </c>
      <c r="K717" t="s">
        <v>953</v>
      </c>
      <c r="L717" t="s">
        <v>1399</v>
      </c>
      <c r="M717" t="s">
        <v>1751</v>
      </c>
      <c r="N717" t="s">
        <v>963</v>
      </c>
    </row>
    <row r="718" spans="1:14">
      <c r="A718" t="s">
        <v>2449</v>
      </c>
      <c r="B718" s="26">
        <v>44550</v>
      </c>
      <c r="C718" s="26">
        <v>44550</v>
      </c>
      <c r="D718" t="s">
        <v>939</v>
      </c>
      <c r="E718" s="26"/>
      <c r="G718">
        <v>2021</v>
      </c>
      <c r="H718" t="s">
        <v>2450</v>
      </c>
      <c r="I718" t="s">
        <v>331</v>
      </c>
      <c r="J718" t="s">
        <v>156</v>
      </c>
      <c r="K718" t="s">
        <v>953</v>
      </c>
      <c r="L718" t="s">
        <v>1398</v>
      </c>
      <c r="M718" t="s">
        <v>1751</v>
      </c>
      <c r="N718" t="s">
        <v>963</v>
      </c>
    </row>
    <row r="719" spans="1:14">
      <c r="A719" t="s">
        <v>2449</v>
      </c>
      <c r="B719" s="26">
        <v>44550</v>
      </c>
      <c r="C719" s="26">
        <v>44550</v>
      </c>
      <c r="D719" t="s">
        <v>939</v>
      </c>
      <c r="E719" s="26"/>
      <c r="G719">
        <v>2021</v>
      </c>
      <c r="H719" t="s">
        <v>2450</v>
      </c>
      <c r="I719" t="s">
        <v>331</v>
      </c>
      <c r="J719" t="s">
        <v>157</v>
      </c>
      <c r="K719" t="s">
        <v>953</v>
      </c>
      <c r="L719" t="s">
        <v>1401</v>
      </c>
      <c r="M719" t="s">
        <v>1751</v>
      </c>
      <c r="N719" t="s">
        <v>963</v>
      </c>
    </row>
    <row r="720" spans="1:14">
      <c r="A720" t="s">
        <v>2449</v>
      </c>
      <c r="B720" s="26">
        <v>44550</v>
      </c>
      <c r="C720" s="26">
        <v>44550</v>
      </c>
      <c r="D720" t="s">
        <v>939</v>
      </c>
      <c r="E720" s="26"/>
      <c r="G720">
        <v>2021</v>
      </c>
      <c r="H720" t="s">
        <v>2450</v>
      </c>
      <c r="I720" t="s">
        <v>331</v>
      </c>
      <c r="J720" t="s">
        <v>157</v>
      </c>
      <c r="K720" t="s">
        <v>953</v>
      </c>
      <c r="L720" t="s">
        <v>2447</v>
      </c>
      <c r="M720" t="s">
        <v>1751</v>
      </c>
      <c r="N720" t="s">
        <v>963</v>
      </c>
    </row>
    <row r="721" spans="1:16">
      <c r="A721" t="s">
        <v>2449</v>
      </c>
      <c r="B721" s="26">
        <v>44550</v>
      </c>
      <c r="C721" s="26">
        <v>44550</v>
      </c>
      <c r="D721" t="s">
        <v>939</v>
      </c>
      <c r="E721" s="26"/>
      <c r="G721">
        <v>2021</v>
      </c>
      <c r="H721" t="s">
        <v>2450</v>
      </c>
      <c r="I721" t="s">
        <v>331</v>
      </c>
      <c r="J721" t="s">
        <v>157</v>
      </c>
      <c r="K721" t="s">
        <v>953</v>
      </c>
      <c r="L721" t="s">
        <v>2453</v>
      </c>
      <c r="M721" t="s">
        <v>1751</v>
      </c>
      <c r="N721" t="s">
        <v>963</v>
      </c>
    </row>
    <row r="722" spans="1:16">
      <c r="A722" t="s">
        <v>2449</v>
      </c>
      <c r="B722" s="26">
        <v>44550</v>
      </c>
      <c r="C722" s="26">
        <v>44550</v>
      </c>
      <c r="D722" t="s">
        <v>939</v>
      </c>
      <c r="E722" s="26"/>
      <c r="G722">
        <v>2021</v>
      </c>
      <c r="H722" t="s">
        <v>2450</v>
      </c>
      <c r="I722" t="s">
        <v>331</v>
      </c>
      <c r="J722" t="s">
        <v>157</v>
      </c>
      <c r="K722" t="s">
        <v>953</v>
      </c>
      <c r="L722" t="s">
        <v>1400</v>
      </c>
      <c r="M722" t="s">
        <v>1751</v>
      </c>
      <c r="N722" t="s">
        <v>963</v>
      </c>
    </row>
    <row r="723" spans="1:16">
      <c r="A723" t="s">
        <v>2449</v>
      </c>
      <c r="B723" s="26">
        <v>44550</v>
      </c>
      <c r="C723" s="26">
        <v>44550</v>
      </c>
      <c r="D723" t="s">
        <v>939</v>
      </c>
      <c r="E723" s="26"/>
      <c r="G723">
        <v>2021</v>
      </c>
      <c r="H723" t="s">
        <v>2450</v>
      </c>
      <c r="I723" t="s">
        <v>331</v>
      </c>
      <c r="J723" t="s">
        <v>157</v>
      </c>
      <c r="K723" t="s">
        <v>953</v>
      </c>
      <c r="L723" t="s">
        <v>1397</v>
      </c>
      <c r="M723" t="s">
        <v>1751</v>
      </c>
      <c r="N723" t="s">
        <v>963</v>
      </c>
    </row>
    <row r="724" spans="1:16">
      <c r="A724" t="s">
        <v>2449</v>
      </c>
      <c r="B724" s="26">
        <v>44550</v>
      </c>
      <c r="C724" s="26">
        <v>44550</v>
      </c>
      <c r="D724" t="s">
        <v>939</v>
      </c>
      <c r="E724" s="26"/>
      <c r="G724">
        <v>2021</v>
      </c>
      <c r="H724" t="s">
        <v>2450</v>
      </c>
      <c r="I724" t="s">
        <v>331</v>
      </c>
      <c r="J724" t="s">
        <v>157</v>
      </c>
      <c r="K724" t="s">
        <v>953</v>
      </c>
      <c r="L724" t="s">
        <v>2451</v>
      </c>
      <c r="M724" t="s">
        <v>1751</v>
      </c>
      <c r="N724" t="s">
        <v>963</v>
      </c>
    </row>
    <row r="725" spans="1:16">
      <c r="A725" t="s">
        <v>2449</v>
      </c>
      <c r="B725" s="26">
        <v>44550</v>
      </c>
      <c r="C725" s="26">
        <v>44550</v>
      </c>
      <c r="D725" t="s">
        <v>939</v>
      </c>
      <c r="E725" s="26"/>
      <c r="G725">
        <v>2021</v>
      </c>
      <c r="H725" t="s">
        <v>2450</v>
      </c>
      <c r="I725" t="s">
        <v>331</v>
      </c>
      <c r="J725" t="s">
        <v>157</v>
      </c>
      <c r="K725" t="s">
        <v>953</v>
      </c>
      <c r="L725" t="s">
        <v>2452</v>
      </c>
      <c r="M725" t="s">
        <v>1751</v>
      </c>
      <c r="N725" t="s">
        <v>963</v>
      </c>
    </row>
    <row r="726" spans="1:16">
      <c r="A726" t="s">
        <v>2449</v>
      </c>
      <c r="B726" s="26">
        <v>44550</v>
      </c>
      <c r="C726" s="26">
        <v>44550</v>
      </c>
      <c r="D726" t="s">
        <v>939</v>
      </c>
      <c r="E726" s="26"/>
      <c r="G726">
        <v>2021</v>
      </c>
      <c r="H726" t="s">
        <v>2450</v>
      </c>
      <c r="I726" t="s">
        <v>331</v>
      </c>
      <c r="J726" t="s">
        <v>41</v>
      </c>
      <c r="K726" t="s">
        <v>953</v>
      </c>
      <c r="L726" t="s">
        <v>1399</v>
      </c>
      <c r="M726" t="s">
        <v>1751</v>
      </c>
      <c r="N726" t="s">
        <v>963</v>
      </c>
    </row>
    <row r="727" spans="1:16">
      <c r="A727" t="s">
        <v>2449</v>
      </c>
      <c r="B727" s="26">
        <v>44550</v>
      </c>
      <c r="C727" s="26">
        <v>44550</v>
      </c>
      <c r="D727" t="s">
        <v>939</v>
      </c>
      <c r="E727" s="26"/>
      <c r="G727">
        <v>2021</v>
      </c>
      <c r="H727" t="s">
        <v>2450</v>
      </c>
      <c r="I727" t="s">
        <v>331</v>
      </c>
      <c r="J727" t="s">
        <v>156</v>
      </c>
      <c r="K727" t="s">
        <v>953</v>
      </c>
      <c r="L727" t="s">
        <v>1398</v>
      </c>
      <c r="M727" t="s">
        <v>1751</v>
      </c>
      <c r="N727" t="s">
        <v>963</v>
      </c>
    </row>
    <row r="728" spans="1:16">
      <c r="A728" t="s">
        <v>2449</v>
      </c>
      <c r="B728" s="26">
        <v>44550</v>
      </c>
      <c r="C728" s="26">
        <v>44550</v>
      </c>
      <c r="D728" t="s">
        <v>939</v>
      </c>
      <c r="E728" s="26"/>
      <c r="G728">
        <v>2021</v>
      </c>
      <c r="H728" t="s">
        <v>2450</v>
      </c>
      <c r="I728" t="s">
        <v>331</v>
      </c>
      <c r="J728" t="s">
        <v>157</v>
      </c>
      <c r="K728" t="s">
        <v>953</v>
      </c>
      <c r="L728" t="s">
        <v>1401</v>
      </c>
      <c r="M728" t="s">
        <v>1751</v>
      </c>
      <c r="N728" t="s">
        <v>963</v>
      </c>
    </row>
    <row r="729" spans="1:16">
      <c r="A729" t="s">
        <v>2449</v>
      </c>
      <c r="B729" s="26">
        <v>44550</v>
      </c>
      <c r="C729" s="26">
        <v>44550</v>
      </c>
      <c r="D729" t="s">
        <v>939</v>
      </c>
      <c r="E729" s="26"/>
      <c r="G729">
        <v>2021</v>
      </c>
      <c r="H729" t="s">
        <v>2450</v>
      </c>
      <c r="I729" t="s">
        <v>331</v>
      </c>
      <c r="J729" t="s">
        <v>157</v>
      </c>
      <c r="K729" t="s">
        <v>953</v>
      </c>
      <c r="L729" t="s">
        <v>2447</v>
      </c>
      <c r="M729" t="s">
        <v>1751</v>
      </c>
      <c r="N729" t="s">
        <v>963</v>
      </c>
    </row>
    <row r="730" spans="1:16">
      <c r="A730" t="s">
        <v>2449</v>
      </c>
      <c r="B730" s="26">
        <v>44550</v>
      </c>
      <c r="C730" s="26">
        <v>44550</v>
      </c>
      <c r="D730" t="s">
        <v>939</v>
      </c>
      <c r="E730" s="26"/>
      <c r="G730">
        <v>2021</v>
      </c>
      <c r="H730" t="s">
        <v>2450</v>
      </c>
      <c r="I730" t="s">
        <v>331</v>
      </c>
      <c r="J730" t="s">
        <v>157</v>
      </c>
      <c r="K730" t="s">
        <v>953</v>
      </c>
      <c r="L730" t="s">
        <v>2453</v>
      </c>
      <c r="M730" t="s">
        <v>1751</v>
      </c>
      <c r="N730" t="s">
        <v>963</v>
      </c>
    </row>
    <row r="731" spans="1:16">
      <c r="A731" t="s">
        <v>2449</v>
      </c>
      <c r="B731" s="26">
        <v>44550</v>
      </c>
      <c r="C731" s="26">
        <v>44550</v>
      </c>
      <c r="D731" t="s">
        <v>939</v>
      </c>
      <c r="E731" s="26"/>
      <c r="G731">
        <v>2021</v>
      </c>
      <c r="H731" t="s">
        <v>2450</v>
      </c>
      <c r="I731" t="s">
        <v>331</v>
      </c>
      <c r="J731" t="s">
        <v>157</v>
      </c>
      <c r="K731" t="s">
        <v>953</v>
      </c>
      <c r="L731" t="s">
        <v>1400</v>
      </c>
      <c r="M731" t="s">
        <v>1751</v>
      </c>
      <c r="N731" t="s">
        <v>963</v>
      </c>
    </row>
    <row r="732" spans="1:16">
      <c r="A732" t="s">
        <v>2449</v>
      </c>
      <c r="B732" s="26">
        <v>44550</v>
      </c>
      <c r="C732" s="26">
        <v>44550</v>
      </c>
      <c r="D732" t="s">
        <v>939</v>
      </c>
      <c r="E732" s="26"/>
      <c r="G732">
        <v>2021</v>
      </c>
      <c r="H732" t="s">
        <v>2450</v>
      </c>
      <c r="I732" t="s">
        <v>331</v>
      </c>
      <c r="J732" t="s">
        <v>157</v>
      </c>
      <c r="K732" t="s">
        <v>953</v>
      </c>
      <c r="L732" t="s">
        <v>1397</v>
      </c>
      <c r="M732" t="s">
        <v>1751</v>
      </c>
      <c r="N732" t="s">
        <v>963</v>
      </c>
    </row>
    <row r="733" spans="1:16">
      <c r="A733" t="s">
        <v>2454</v>
      </c>
      <c r="B733" s="26">
        <v>43196</v>
      </c>
      <c r="C733" s="26">
        <v>43196</v>
      </c>
      <c r="D733" t="s">
        <v>939</v>
      </c>
      <c r="E733" s="26"/>
      <c r="G733">
        <v>2017</v>
      </c>
      <c r="H733" t="s">
        <v>2455</v>
      </c>
      <c r="I733" t="s">
        <v>331</v>
      </c>
      <c r="J733" t="s">
        <v>156</v>
      </c>
      <c r="K733">
        <v>122608</v>
      </c>
      <c r="L733" t="s">
        <v>2456</v>
      </c>
      <c r="M733" t="s">
        <v>1378</v>
      </c>
      <c r="N733" t="s">
        <v>963</v>
      </c>
      <c r="O733">
        <v>122608</v>
      </c>
      <c r="P733">
        <v>643729</v>
      </c>
    </row>
    <row r="734" spans="1:16">
      <c r="A734" t="s">
        <v>2454</v>
      </c>
      <c r="B734" s="26">
        <v>43196</v>
      </c>
      <c r="C734" s="26">
        <v>43196</v>
      </c>
      <c r="D734" t="s">
        <v>939</v>
      </c>
      <c r="E734" s="26"/>
      <c r="G734">
        <v>2017</v>
      </c>
      <c r="H734" t="s">
        <v>2455</v>
      </c>
      <c r="I734" t="s">
        <v>331</v>
      </c>
      <c r="J734" t="s">
        <v>156</v>
      </c>
      <c r="K734">
        <v>143997</v>
      </c>
      <c r="L734" t="s">
        <v>1381</v>
      </c>
      <c r="M734" t="s">
        <v>1378</v>
      </c>
      <c r="N734" t="s">
        <v>963</v>
      </c>
      <c r="O734">
        <v>143997</v>
      </c>
      <c r="P734">
        <v>643729</v>
      </c>
    </row>
    <row r="735" spans="1:16">
      <c r="A735" t="s">
        <v>2454</v>
      </c>
      <c r="B735" s="26">
        <v>43196</v>
      </c>
      <c r="C735" s="26">
        <v>43196</v>
      </c>
      <c r="D735" t="s">
        <v>939</v>
      </c>
      <c r="E735" s="26"/>
      <c r="G735">
        <v>2017</v>
      </c>
      <c r="H735" t="s">
        <v>2455</v>
      </c>
      <c r="I735" t="s">
        <v>331</v>
      </c>
      <c r="J735" t="s">
        <v>156</v>
      </c>
      <c r="K735">
        <v>224022</v>
      </c>
      <c r="L735" t="s">
        <v>1383</v>
      </c>
      <c r="M735" t="s">
        <v>1378</v>
      </c>
      <c r="N735" t="s">
        <v>963</v>
      </c>
      <c r="O735">
        <v>224022</v>
      </c>
      <c r="P735">
        <v>643729</v>
      </c>
    </row>
    <row r="736" spans="1:16">
      <c r="A736" t="s">
        <v>2454</v>
      </c>
      <c r="B736" s="26">
        <v>43196</v>
      </c>
      <c r="C736" s="26">
        <v>43196</v>
      </c>
      <c r="D736" t="s">
        <v>939</v>
      </c>
      <c r="E736" s="26"/>
      <c r="G736">
        <v>2017</v>
      </c>
      <c r="H736" t="s">
        <v>2455</v>
      </c>
      <c r="I736" t="s">
        <v>331</v>
      </c>
      <c r="J736" t="s">
        <v>156</v>
      </c>
      <c r="K736">
        <v>145940</v>
      </c>
      <c r="L736" t="s">
        <v>2440</v>
      </c>
      <c r="M736" t="s">
        <v>1378</v>
      </c>
      <c r="N736" t="s">
        <v>963</v>
      </c>
      <c r="O736">
        <v>145940</v>
      </c>
      <c r="P736">
        <v>643729</v>
      </c>
    </row>
    <row r="737" spans="1:16">
      <c r="A737" t="s">
        <v>2454</v>
      </c>
      <c r="B737" s="26">
        <v>43196</v>
      </c>
      <c r="C737" s="26">
        <v>43196</v>
      </c>
      <c r="D737" t="s">
        <v>939</v>
      </c>
      <c r="E737" s="26"/>
      <c r="G737">
        <v>2017</v>
      </c>
      <c r="H737" t="s">
        <v>2455</v>
      </c>
      <c r="I737" t="s">
        <v>331</v>
      </c>
      <c r="J737" t="s">
        <v>156</v>
      </c>
      <c r="K737">
        <v>4472</v>
      </c>
      <c r="L737" t="s">
        <v>1765</v>
      </c>
      <c r="M737" t="s">
        <v>1378</v>
      </c>
      <c r="N737" t="s">
        <v>963</v>
      </c>
      <c r="O737">
        <v>4472</v>
      </c>
      <c r="P737">
        <v>643729</v>
      </c>
    </row>
    <row r="738" spans="1:16">
      <c r="A738" t="s">
        <v>2454</v>
      </c>
      <c r="B738" s="26">
        <v>43196</v>
      </c>
      <c r="C738" s="26">
        <v>43196</v>
      </c>
      <c r="D738" t="s">
        <v>939</v>
      </c>
      <c r="E738" s="26"/>
      <c r="G738">
        <v>2017</v>
      </c>
      <c r="H738" t="s">
        <v>2455</v>
      </c>
      <c r="I738" t="s">
        <v>331</v>
      </c>
      <c r="J738" t="s">
        <v>156</v>
      </c>
      <c r="K738">
        <v>290</v>
      </c>
      <c r="L738" t="s">
        <v>2155</v>
      </c>
      <c r="M738" t="s">
        <v>1378</v>
      </c>
      <c r="N738" t="s">
        <v>963</v>
      </c>
      <c r="O738">
        <v>290</v>
      </c>
      <c r="P738">
        <v>643729</v>
      </c>
    </row>
    <row r="739" spans="1:16">
      <c r="A739" t="s">
        <v>2454</v>
      </c>
      <c r="B739" s="26">
        <v>43196</v>
      </c>
      <c r="C739" s="26">
        <v>43196</v>
      </c>
      <c r="D739" t="s">
        <v>939</v>
      </c>
      <c r="E739" s="26"/>
      <c r="G739">
        <v>2017</v>
      </c>
      <c r="H739" t="s">
        <v>2455</v>
      </c>
      <c r="I739" t="s">
        <v>331</v>
      </c>
      <c r="J739" t="s">
        <v>157</v>
      </c>
      <c r="K739">
        <v>2399</v>
      </c>
      <c r="L739" t="s">
        <v>2457</v>
      </c>
      <c r="M739" t="s">
        <v>1378</v>
      </c>
      <c r="N739" t="s">
        <v>963</v>
      </c>
      <c r="O739">
        <v>2399</v>
      </c>
      <c r="P739">
        <v>643729</v>
      </c>
    </row>
    <row r="740" spans="1:16">
      <c r="A740" t="s">
        <v>2458</v>
      </c>
      <c r="B740" s="26">
        <v>44445</v>
      </c>
      <c r="C740" s="26">
        <v>44445</v>
      </c>
      <c r="D740" t="s">
        <v>939</v>
      </c>
      <c r="E740" s="26"/>
      <c r="G740">
        <v>2021</v>
      </c>
      <c r="H740" t="s">
        <v>2459</v>
      </c>
      <c r="I740" t="s">
        <v>331</v>
      </c>
      <c r="J740" t="s">
        <v>156</v>
      </c>
      <c r="K740" t="s">
        <v>953</v>
      </c>
      <c r="L740" t="s">
        <v>1390</v>
      </c>
      <c r="M740" t="s">
        <v>1378</v>
      </c>
      <c r="N740" t="s">
        <v>963</v>
      </c>
    </row>
    <row r="741" spans="1:16">
      <c r="A741" t="s">
        <v>2458</v>
      </c>
      <c r="B741" s="26">
        <v>44445</v>
      </c>
      <c r="C741" s="26">
        <v>44445</v>
      </c>
      <c r="D741" t="s">
        <v>939</v>
      </c>
      <c r="E741" s="26"/>
      <c r="G741">
        <v>2021</v>
      </c>
      <c r="H741" t="s">
        <v>2459</v>
      </c>
      <c r="I741" t="s">
        <v>331</v>
      </c>
      <c r="J741" t="s">
        <v>41</v>
      </c>
      <c r="K741" t="s">
        <v>953</v>
      </c>
      <c r="L741" t="s">
        <v>1399</v>
      </c>
      <c r="M741" t="s">
        <v>1378</v>
      </c>
      <c r="N741" t="s">
        <v>963</v>
      </c>
    </row>
    <row r="742" spans="1:16">
      <c r="A742" t="s">
        <v>2458</v>
      </c>
      <c r="B742" s="26">
        <v>44445</v>
      </c>
      <c r="C742" s="26">
        <v>44445</v>
      </c>
      <c r="D742" t="s">
        <v>939</v>
      </c>
      <c r="E742" s="26"/>
      <c r="G742">
        <v>2021</v>
      </c>
      <c r="H742" t="s">
        <v>2459</v>
      </c>
      <c r="I742" t="s">
        <v>331</v>
      </c>
      <c r="J742" t="s">
        <v>156</v>
      </c>
      <c r="K742" t="s">
        <v>953</v>
      </c>
      <c r="L742" t="s">
        <v>2445</v>
      </c>
      <c r="M742" t="s">
        <v>1378</v>
      </c>
      <c r="N742" t="s">
        <v>963</v>
      </c>
    </row>
    <row r="743" spans="1:16">
      <c r="A743" t="s">
        <v>2458</v>
      </c>
      <c r="B743" s="26">
        <v>44445</v>
      </c>
      <c r="C743" s="26">
        <v>44445</v>
      </c>
      <c r="D743" t="s">
        <v>939</v>
      </c>
      <c r="E743" s="26"/>
      <c r="G743">
        <v>2021</v>
      </c>
      <c r="H743" t="s">
        <v>2459</v>
      </c>
      <c r="I743" t="s">
        <v>331</v>
      </c>
      <c r="J743" t="s">
        <v>156</v>
      </c>
      <c r="K743" t="s">
        <v>953</v>
      </c>
      <c r="L743" t="s">
        <v>2456</v>
      </c>
      <c r="M743" t="s">
        <v>1378</v>
      </c>
      <c r="N743" t="s">
        <v>963</v>
      </c>
    </row>
    <row r="744" spans="1:16">
      <c r="A744" t="s">
        <v>2458</v>
      </c>
      <c r="B744" s="26">
        <v>44445</v>
      </c>
      <c r="C744" s="26">
        <v>44445</v>
      </c>
      <c r="D744" t="s">
        <v>939</v>
      </c>
      <c r="E744" s="26"/>
      <c r="G744">
        <v>2021</v>
      </c>
      <c r="H744" t="s">
        <v>2459</v>
      </c>
      <c r="I744" t="s">
        <v>331</v>
      </c>
      <c r="J744" t="s">
        <v>156</v>
      </c>
      <c r="K744" t="s">
        <v>953</v>
      </c>
      <c r="L744" t="s">
        <v>2460</v>
      </c>
      <c r="M744" t="s">
        <v>1378</v>
      </c>
      <c r="N744" t="s">
        <v>963</v>
      </c>
    </row>
    <row r="745" spans="1:16">
      <c r="A745" t="s">
        <v>2458</v>
      </c>
      <c r="B745" s="26">
        <v>44445</v>
      </c>
      <c r="C745" s="26">
        <v>44445</v>
      </c>
      <c r="D745" t="s">
        <v>939</v>
      </c>
      <c r="E745" s="26"/>
      <c r="G745">
        <v>2021</v>
      </c>
      <c r="H745" t="s">
        <v>2459</v>
      </c>
      <c r="I745" t="s">
        <v>331</v>
      </c>
      <c r="J745" t="s">
        <v>156</v>
      </c>
      <c r="K745" t="s">
        <v>953</v>
      </c>
      <c r="L745" t="s">
        <v>2461</v>
      </c>
      <c r="M745" t="s">
        <v>1378</v>
      </c>
      <c r="N745" t="s">
        <v>963</v>
      </c>
    </row>
    <row r="746" spans="1:16">
      <c r="A746" t="s">
        <v>2458</v>
      </c>
      <c r="B746" s="26">
        <v>44445</v>
      </c>
      <c r="C746" s="26">
        <v>44445</v>
      </c>
      <c r="D746" t="s">
        <v>939</v>
      </c>
      <c r="E746" s="26"/>
      <c r="G746">
        <v>2021</v>
      </c>
      <c r="H746" t="s">
        <v>2459</v>
      </c>
      <c r="I746" t="s">
        <v>331</v>
      </c>
      <c r="J746" t="s">
        <v>156</v>
      </c>
      <c r="K746" t="s">
        <v>953</v>
      </c>
      <c r="L746" t="s">
        <v>2462</v>
      </c>
      <c r="M746" t="s">
        <v>1378</v>
      </c>
      <c r="N746" t="s">
        <v>963</v>
      </c>
    </row>
    <row r="747" spans="1:16">
      <c r="A747" t="s">
        <v>2463</v>
      </c>
      <c r="B747" s="26">
        <v>42077</v>
      </c>
      <c r="C747" s="26">
        <v>42077</v>
      </c>
      <c r="D747" t="s">
        <v>939</v>
      </c>
      <c r="E747" s="26"/>
      <c r="G747">
        <v>2014</v>
      </c>
      <c r="H747" t="s">
        <v>2464</v>
      </c>
      <c r="I747" t="s">
        <v>136</v>
      </c>
      <c r="J747" t="s">
        <v>41</v>
      </c>
      <c r="K747">
        <v>314415</v>
      </c>
      <c r="L747" t="s">
        <v>2432</v>
      </c>
      <c r="M747" t="s">
        <v>1741</v>
      </c>
      <c r="N747" t="s">
        <v>963</v>
      </c>
      <c r="O747">
        <v>314415</v>
      </c>
    </row>
    <row r="748" spans="1:16">
      <c r="A748" t="s">
        <v>2465</v>
      </c>
      <c r="B748" s="26">
        <v>44057</v>
      </c>
      <c r="C748" s="26">
        <v>44057</v>
      </c>
      <c r="D748" t="s">
        <v>939</v>
      </c>
      <c r="E748" s="26"/>
      <c r="G748">
        <v>2019</v>
      </c>
      <c r="H748" t="s">
        <v>2466</v>
      </c>
      <c r="I748" t="s">
        <v>331</v>
      </c>
      <c r="J748" t="s">
        <v>156</v>
      </c>
      <c r="K748" t="s">
        <v>2467</v>
      </c>
      <c r="L748" t="s">
        <v>2456</v>
      </c>
      <c r="M748" t="s">
        <v>1378</v>
      </c>
      <c r="N748" t="s">
        <v>963</v>
      </c>
      <c r="O748" t="s">
        <v>2467</v>
      </c>
      <c r="P748" t="s">
        <v>2468</v>
      </c>
    </row>
    <row r="749" spans="1:16">
      <c r="A749" t="s">
        <v>2465</v>
      </c>
      <c r="B749" s="26">
        <v>44057</v>
      </c>
      <c r="C749" s="26">
        <v>44057</v>
      </c>
      <c r="D749" t="s">
        <v>939</v>
      </c>
      <c r="E749" s="26"/>
      <c r="G749">
        <v>2019</v>
      </c>
      <c r="H749" t="s">
        <v>2466</v>
      </c>
      <c r="I749" t="s">
        <v>331</v>
      </c>
      <c r="J749" t="s">
        <v>156</v>
      </c>
      <c r="K749" t="s">
        <v>2469</v>
      </c>
      <c r="L749" t="s">
        <v>1765</v>
      </c>
      <c r="M749" t="s">
        <v>1378</v>
      </c>
      <c r="N749" t="s">
        <v>963</v>
      </c>
      <c r="O749" t="s">
        <v>2469</v>
      </c>
      <c r="P749" t="s">
        <v>2468</v>
      </c>
    </row>
    <row r="750" spans="1:16">
      <c r="A750" t="s">
        <v>2465</v>
      </c>
      <c r="B750" s="26">
        <v>44057</v>
      </c>
      <c r="C750" s="26">
        <v>44057</v>
      </c>
      <c r="D750" t="s">
        <v>939</v>
      </c>
      <c r="E750" s="26"/>
      <c r="G750">
        <v>2019</v>
      </c>
      <c r="H750" t="s">
        <v>2466</v>
      </c>
      <c r="I750" t="s">
        <v>331</v>
      </c>
      <c r="J750" t="s">
        <v>156</v>
      </c>
      <c r="K750" t="s">
        <v>2470</v>
      </c>
      <c r="L750" t="s">
        <v>1390</v>
      </c>
      <c r="M750" t="s">
        <v>1378</v>
      </c>
      <c r="N750" t="s">
        <v>963</v>
      </c>
      <c r="O750" t="s">
        <v>2470</v>
      </c>
      <c r="P750" t="s">
        <v>2468</v>
      </c>
    </row>
    <row r="751" spans="1:16">
      <c r="A751" t="s">
        <v>2465</v>
      </c>
      <c r="B751" s="26">
        <v>44057</v>
      </c>
      <c r="C751" s="26">
        <v>44057</v>
      </c>
      <c r="D751" t="s">
        <v>939</v>
      </c>
      <c r="E751" s="26"/>
      <c r="G751">
        <v>2019</v>
      </c>
      <c r="H751" t="s">
        <v>2466</v>
      </c>
      <c r="I751" t="s">
        <v>331</v>
      </c>
      <c r="J751" t="s">
        <v>156</v>
      </c>
      <c r="K751" t="s">
        <v>2471</v>
      </c>
      <c r="L751" t="s">
        <v>1393</v>
      </c>
      <c r="M751" t="s">
        <v>1378</v>
      </c>
      <c r="N751" t="s">
        <v>963</v>
      </c>
      <c r="O751" t="s">
        <v>2471</v>
      </c>
      <c r="P751" t="s">
        <v>2468</v>
      </c>
    </row>
    <row r="752" spans="1:16">
      <c r="A752" t="s">
        <v>2465</v>
      </c>
      <c r="B752" s="26">
        <v>44057</v>
      </c>
      <c r="C752" s="26">
        <v>44057</v>
      </c>
      <c r="D752" t="s">
        <v>939</v>
      </c>
      <c r="E752" s="26"/>
      <c r="G752">
        <v>2019</v>
      </c>
      <c r="H752" t="s">
        <v>2466</v>
      </c>
      <c r="I752" t="s">
        <v>331</v>
      </c>
      <c r="J752" t="s">
        <v>156</v>
      </c>
      <c r="K752" t="s">
        <v>2472</v>
      </c>
      <c r="L752" t="s">
        <v>1383</v>
      </c>
      <c r="M752" t="s">
        <v>1378</v>
      </c>
      <c r="N752" t="s">
        <v>963</v>
      </c>
      <c r="O752" t="s">
        <v>2472</v>
      </c>
      <c r="P752" t="s">
        <v>2468</v>
      </c>
    </row>
    <row r="753" spans="1:16">
      <c r="A753" t="s">
        <v>2465</v>
      </c>
      <c r="B753" s="26">
        <v>44057</v>
      </c>
      <c r="C753" s="26">
        <v>44057</v>
      </c>
      <c r="D753" t="s">
        <v>939</v>
      </c>
      <c r="E753" s="26"/>
      <c r="G753">
        <v>2019</v>
      </c>
      <c r="H753" t="s">
        <v>2466</v>
      </c>
      <c r="I753" t="s">
        <v>331</v>
      </c>
      <c r="J753" t="s">
        <v>156</v>
      </c>
      <c r="K753" t="s">
        <v>2473</v>
      </c>
      <c r="L753" t="s">
        <v>1381</v>
      </c>
      <c r="M753" t="s">
        <v>1378</v>
      </c>
      <c r="N753" t="s">
        <v>963</v>
      </c>
      <c r="O753" t="s">
        <v>2473</v>
      </c>
      <c r="P753" t="s">
        <v>2468</v>
      </c>
    </row>
    <row r="754" spans="1:16">
      <c r="A754" t="s">
        <v>2465</v>
      </c>
      <c r="B754" s="26">
        <v>44057</v>
      </c>
      <c r="C754" s="26">
        <v>44057</v>
      </c>
      <c r="D754" t="s">
        <v>939</v>
      </c>
      <c r="E754" s="26"/>
      <c r="G754">
        <v>2019</v>
      </c>
      <c r="H754" t="s">
        <v>2466</v>
      </c>
      <c r="I754" t="s">
        <v>331</v>
      </c>
      <c r="J754" t="s">
        <v>156</v>
      </c>
      <c r="K754" t="s">
        <v>2474</v>
      </c>
      <c r="L754" t="s">
        <v>1387</v>
      </c>
      <c r="M754" t="s">
        <v>1378</v>
      </c>
      <c r="N754" t="s">
        <v>963</v>
      </c>
      <c r="O754" t="s">
        <v>2474</v>
      </c>
      <c r="P754" t="s">
        <v>2468</v>
      </c>
    </row>
    <row r="755" spans="1:16">
      <c r="A755" t="s">
        <v>2475</v>
      </c>
      <c r="B755" s="26">
        <v>43766</v>
      </c>
      <c r="C755" s="26">
        <v>43766</v>
      </c>
      <c r="D755" t="s">
        <v>939</v>
      </c>
      <c r="E755" s="26"/>
      <c r="G755">
        <v>2019</v>
      </c>
      <c r="H755" t="s">
        <v>2476</v>
      </c>
      <c r="I755" t="s">
        <v>331</v>
      </c>
      <c r="J755" t="s">
        <v>156</v>
      </c>
      <c r="K755">
        <v>774814</v>
      </c>
      <c r="L755" t="s">
        <v>1383</v>
      </c>
      <c r="M755" t="s">
        <v>1378</v>
      </c>
      <c r="N755" t="s">
        <v>963</v>
      </c>
      <c r="O755">
        <v>774814</v>
      </c>
      <c r="P755">
        <v>1288363</v>
      </c>
    </row>
    <row r="756" spans="1:16">
      <c r="A756" t="s">
        <v>2475</v>
      </c>
      <c r="B756" s="26">
        <v>43766</v>
      </c>
      <c r="C756" s="26">
        <v>43766</v>
      </c>
      <c r="D756" t="s">
        <v>939</v>
      </c>
      <c r="E756" s="26"/>
      <c r="G756">
        <v>2019</v>
      </c>
      <c r="H756" t="s">
        <v>2476</v>
      </c>
      <c r="I756" t="s">
        <v>331</v>
      </c>
      <c r="J756" t="s">
        <v>156</v>
      </c>
      <c r="K756">
        <v>3641</v>
      </c>
      <c r="L756" t="s">
        <v>1765</v>
      </c>
      <c r="M756" t="s">
        <v>1378</v>
      </c>
      <c r="N756" t="s">
        <v>963</v>
      </c>
      <c r="O756">
        <v>3641</v>
      </c>
      <c r="P756">
        <v>1288363</v>
      </c>
    </row>
    <row r="757" spans="1:16">
      <c r="A757" t="s">
        <v>2475</v>
      </c>
      <c r="B757" s="26">
        <v>43766</v>
      </c>
      <c r="C757" s="26">
        <v>43766</v>
      </c>
      <c r="D757" t="s">
        <v>939</v>
      </c>
      <c r="E757" s="26"/>
      <c r="G757">
        <v>2019</v>
      </c>
      <c r="H757" t="s">
        <v>2476</v>
      </c>
      <c r="I757" t="s">
        <v>331</v>
      </c>
      <c r="J757" t="s">
        <v>156</v>
      </c>
      <c r="K757">
        <v>2431</v>
      </c>
      <c r="L757" t="s">
        <v>1393</v>
      </c>
      <c r="M757" t="s">
        <v>1378</v>
      </c>
      <c r="N757" t="s">
        <v>963</v>
      </c>
      <c r="O757">
        <v>2431</v>
      </c>
      <c r="P757">
        <v>1288363</v>
      </c>
    </row>
    <row r="758" spans="1:16">
      <c r="A758" t="s">
        <v>2475</v>
      </c>
      <c r="B758" s="26">
        <v>43766</v>
      </c>
      <c r="C758" s="26">
        <v>43766</v>
      </c>
      <c r="D758" t="s">
        <v>939</v>
      </c>
      <c r="E758" s="26"/>
      <c r="G758">
        <v>2019</v>
      </c>
      <c r="H758" t="s">
        <v>2476</v>
      </c>
      <c r="I758" t="s">
        <v>331</v>
      </c>
      <c r="J758" t="s">
        <v>156</v>
      </c>
      <c r="K758">
        <v>501531</v>
      </c>
      <c r="L758" t="s">
        <v>2477</v>
      </c>
      <c r="M758" t="s">
        <v>1378</v>
      </c>
      <c r="N758" t="s">
        <v>963</v>
      </c>
      <c r="O758">
        <v>501531</v>
      </c>
      <c r="P758">
        <v>1288363</v>
      </c>
    </row>
    <row r="759" spans="1:16">
      <c r="A759" t="s">
        <v>2475</v>
      </c>
      <c r="B759" s="26">
        <v>43766</v>
      </c>
      <c r="C759" s="26">
        <v>43766</v>
      </c>
      <c r="D759" t="s">
        <v>939</v>
      </c>
      <c r="E759" s="26"/>
      <c r="G759">
        <v>2019</v>
      </c>
      <c r="H759" t="s">
        <v>2476</v>
      </c>
      <c r="I759" t="s">
        <v>331</v>
      </c>
      <c r="J759" t="s">
        <v>156</v>
      </c>
      <c r="K759">
        <v>5947</v>
      </c>
      <c r="L759" t="s">
        <v>2440</v>
      </c>
      <c r="M759" t="s">
        <v>1378</v>
      </c>
      <c r="N759" t="s">
        <v>963</v>
      </c>
      <c r="O759">
        <v>5947</v>
      </c>
      <c r="P759">
        <v>1288363</v>
      </c>
    </row>
    <row r="760" spans="1:16">
      <c r="A760" t="s">
        <v>2478</v>
      </c>
      <c r="B760" s="26">
        <v>44274</v>
      </c>
      <c r="C760" s="26">
        <v>44307</v>
      </c>
      <c r="D760" t="s">
        <v>939</v>
      </c>
      <c r="E760" s="26"/>
      <c r="G760">
        <v>2021</v>
      </c>
      <c r="H760" t="s">
        <v>2479</v>
      </c>
      <c r="I760" t="s">
        <v>331</v>
      </c>
      <c r="J760" t="s">
        <v>39</v>
      </c>
      <c r="K760">
        <v>621200</v>
      </c>
      <c r="L760" t="s">
        <v>2480</v>
      </c>
      <c r="M760" t="s">
        <v>1378</v>
      </c>
      <c r="N760" t="s">
        <v>963</v>
      </c>
      <c r="O760">
        <v>621200</v>
      </c>
      <c r="P760">
        <v>621200</v>
      </c>
    </row>
    <row r="761" spans="1:16">
      <c r="A761" t="s">
        <v>2478</v>
      </c>
      <c r="B761" s="26">
        <v>44274</v>
      </c>
      <c r="C761" s="26">
        <v>44307</v>
      </c>
      <c r="D761" t="s">
        <v>939</v>
      </c>
      <c r="E761" s="26"/>
      <c r="G761">
        <v>2021</v>
      </c>
      <c r="H761" t="s">
        <v>2479</v>
      </c>
      <c r="I761" t="s">
        <v>331</v>
      </c>
      <c r="J761" t="s">
        <v>39</v>
      </c>
      <c r="K761">
        <v>621200</v>
      </c>
      <c r="L761" t="s">
        <v>2480</v>
      </c>
      <c r="M761" t="s">
        <v>1378</v>
      </c>
      <c r="N761" t="s">
        <v>963</v>
      </c>
      <c r="O761">
        <v>621200</v>
      </c>
      <c r="P761">
        <v>621200</v>
      </c>
    </row>
    <row r="762" spans="1:16">
      <c r="A762" t="s">
        <v>2481</v>
      </c>
      <c r="B762" s="26">
        <v>44566</v>
      </c>
      <c r="C762" s="26">
        <v>44649</v>
      </c>
      <c r="D762" t="s">
        <v>939</v>
      </c>
      <c r="E762" s="26"/>
      <c r="G762">
        <v>2021</v>
      </c>
      <c r="H762" t="s">
        <v>2482</v>
      </c>
      <c r="I762" t="s">
        <v>331</v>
      </c>
      <c r="J762" t="s">
        <v>69</v>
      </c>
      <c r="K762" t="s">
        <v>953</v>
      </c>
      <c r="L762" t="s">
        <v>2483</v>
      </c>
      <c r="M762" t="s">
        <v>1378</v>
      </c>
      <c r="N762" t="s">
        <v>963</v>
      </c>
    </row>
    <row r="763" spans="1:16">
      <c r="A763" t="s">
        <v>2481</v>
      </c>
      <c r="B763" s="26">
        <v>44566</v>
      </c>
      <c r="C763" s="26">
        <v>44649</v>
      </c>
      <c r="D763" t="s">
        <v>939</v>
      </c>
      <c r="E763" s="26"/>
      <c r="G763">
        <v>2021</v>
      </c>
      <c r="H763" t="s">
        <v>2482</v>
      </c>
      <c r="I763" t="s">
        <v>331</v>
      </c>
      <c r="J763" t="s">
        <v>69</v>
      </c>
      <c r="K763" t="s">
        <v>953</v>
      </c>
      <c r="L763" t="s">
        <v>2483</v>
      </c>
      <c r="M763" t="s">
        <v>1378</v>
      </c>
      <c r="N763" t="s">
        <v>963</v>
      </c>
    </row>
    <row r="764" spans="1:16">
      <c r="A764" t="s">
        <v>2484</v>
      </c>
      <c r="B764" s="26">
        <v>43427</v>
      </c>
      <c r="C764" s="26">
        <v>43427</v>
      </c>
      <c r="D764" t="s">
        <v>939</v>
      </c>
      <c r="E764" s="26"/>
      <c r="G764">
        <v>2018</v>
      </c>
      <c r="H764" t="s">
        <v>2485</v>
      </c>
      <c r="I764" t="s">
        <v>331</v>
      </c>
      <c r="J764" t="s">
        <v>156</v>
      </c>
      <c r="K764">
        <v>3170705</v>
      </c>
      <c r="L764" t="s">
        <v>2486</v>
      </c>
      <c r="M764" t="s">
        <v>1378</v>
      </c>
      <c r="N764" t="s">
        <v>963</v>
      </c>
      <c r="O764">
        <v>3170705</v>
      </c>
      <c r="P764">
        <v>3170705</v>
      </c>
    </row>
    <row r="765" spans="1:16">
      <c r="A765" t="s">
        <v>2484</v>
      </c>
      <c r="B765" s="26">
        <v>43427</v>
      </c>
      <c r="C765" s="26">
        <v>43427</v>
      </c>
      <c r="D765" t="s">
        <v>939</v>
      </c>
      <c r="E765" s="26"/>
      <c r="G765">
        <v>2018</v>
      </c>
      <c r="H765" t="s">
        <v>2485</v>
      </c>
      <c r="I765" t="s">
        <v>331</v>
      </c>
      <c r="J765" t="s">
        <v>156</v>
      </c>
      <c r="K765">
        <v>3170705</v>
      </c>
      <c r="L765" t="s">
        <v>2486</v>
      </c>
      <c r="M765" t="s">
        <v>1378</v>
      </c>
      <c r="N765" t="s">
        <v>963</v>
      </c>
      <c r="O765">
        <v>3170705</v>
      </c>
      <c r="P765">
        <v>3170705</v>
      </c>
    </row>
    <row r="766" spans="1:16">
      <c r="A766" t="s">
        <v>2487</v>
      </c>
      <c r="B766" s="26">
        <v>43377</v>
      </c>
      <c r="C766" s="26">
        <v>43377</v>
      </c>
      <c r="D766" t="s">
        <v>939</v>
      </c>
      <c r="E766" s="26"/>
      <c r="G766">
        <v>2018</v>
      </c>
      <c r="H766" t="s">
        <v>2488</v>
      </c>
      <c r="I766" t="s">
        <v>203</v>
      </c>
      <c r="K766" t="s">
        <v>953</v>
      </c>
      <c r="M766" t="s">
        <v>2489</v>
      </c>
    </row>
    <row r="767" spans="1:16">
      <c r="A767" t="s">
        <v>2490</v>
      </c>
      <c r="B767" s="26">
        <v>42698</v>
      </c>
      <c r="C767" s="26">
        <v>42698</v>
      </c>
      <c r="D767" t="s">
        <v>939</v>
      </c>
      <c r="E767" s="26"/>
      <c r="G767">
        <v>2015</v>
      </c>
      <c r="H767" t="s">
        <v>2491</v>
      </c>
      <c r="I767" t="s">
        <v>203</v>
      </c>
      <c r="K767" t="s">
        <v>953</v>
      </c>
      <c r="M767" t="s">
        <v>2492</v>
      </c>
    </row>
    <row r="768" spans="1:16">
      <c r="A768" t="s">
        <v>2493</v>
      </c>
      <c r="B768" s="26">
        <v>44293</v>
      </c>
      <c r="C768" s="26">
        <v>44293</v>
      </c>
      <c r="D768" t="s">
        <v>939</v>
      </c>
      <c r="E768" s="26"/>
      <c r="G768">
        <v>2020</v>
      </c>
      <c r="H768" t="s">
        <v>2494</v>
      </c>
      <c r="I768" t="s">
        <v>203</v>
      </c>
      <c r="K768" t="s">
        <v>953</v>
      </c>
      <c r="M768" t="s">
        <v>2492</v>
      </c>
    </row>
    <row r="769" spans="1:17">
      <c r="A769" t="s">
        <v>2495</v>
      </c>
      <c r="B769" s="26">
        <v>44302</v>
      </c>
      <c r="C769" s="26">
        <v>44302</v>
      </c>
      <c r="D769" t="s">
        <v>939</v>
      </c>
      <c r="E769" s="26"/>
      <c r="G769">
        <v>2020</v>
      </c>
      <c r="H769" t="s">
        <v>2496</v>
      </c>
      <c r="I769" t="s">
        <v>203</v>
      </c>
      <c r="K769" t="s">
        <v>953</v>
      </c>
      <c r="M769" t="s">
        <v>2492</v>
      </c>
    </row>
    <row r="770" spans="1:17">
      <c r="A770" t="s">
        <v>2497</v>
      </c>
      <c r="B770" s="26">
        <v>44389</v>
      </c>
      <c r="C770" s="26">
        <v>44389</v>
      </c>
      <c r="D770" t="s">
        <v>939</v>
      </c>
      <c r="E770" s="26"/>
      <c r="G770">
        <v>2021</v>
      </c>
      <c r="H770" t="s">
        <v>2498</v>
      </c>
      <c r="I770" t="s">
        <v>69</v>
      </c>
      <c r="J770" t="s">
        <v>69</v>
      </c>
      <c r="K770">
        <v>1237702</v>
      </c>
      <c r="L770" t="s">
        <v>788</v>
      </c>
      <c r="M770" t="s">
        <v>1781</v>
      </c>
      <c r="N770" t="s">
        <v>963</v>
      </c>
      <c r="O770">
        <v>1237702</v>
      </c>
      <c r="P770">
        <v>1237702</v>
      </c>
    </row>
    <row r="771" spans="1:17">
      <c r="A771" t="s">
        <v>2499</v>
      </c>
      <c r="B771" s="26">
        <v>43300</v>
      </c>
      <c r="C771" s="26">
        <v>43300</v>
      </c>
      <c r="D771" t="s">
        <v>939</v>
      </c>
      <c r="E771" s="26"/>
      <c r="G771">
        <v>2017</v>
      </c>
      <c r="H771" t="s">
        <v>2500</v>
      </c>
      <c r="I771" t="s">
        <v>41</v>
      </c>
      <c r="J771" t="s">
        <v>41</v>
      </c>
      <c r="K771" t="s">
        <v>953</v>
      </c>
      <c r="L771" t="s">
        <v>2501</v>
      </c>
      <c r="M771" t="s">
        <v>1791</v>
      </c>
      <c r="N771" t="s">
        <v>963</v>
      </c>
    </row>
    <row r="772" spans="1:17">
      <c r="A772" t="s">
        <v>2502</v>
      </c>
      <c r="B772" s="26">
        <v>42558</v>
      </c>
      <c r="C772" s="26">
        <v>42558</v>
      </c>
      <c r="D772" t="s">
        <v>1206</v>
      </c>
      <c r="E772" s="26"/>
      <c r="G772">
        <v>2015</v>
      </c>
      <c r="H772" t="s">
        <v>2503</v>
      </c>
      <c r="I772" t="s">
        <v>33</v>
      </c>
      <c r="J772" t="s">
        <v>39</v>
      </c>
      <c r="K772">
        <v>27606340</v>
      </c>
      <c r="L772" t="s">
        <v>2061</v>
      </c>
      <c r="M772" t="s">
        <v>1405</v>
      </c>
      <c r="N772" t="s">
        <v>1210</v>
      </c>
      <c r="P772">
        <v>27606340</v>
      </c>
      <c r="Q772">
        <v>30000000</v>
      </c>
    </row>
    <row r="773" spans="1:17">
      <c r="A773" t="s">
        <v>2502</v>
      </c>
      <c r="B773" s="26">
        <v>42558</v>
      </c>
      <c r="C773" s="26">
        <v>42558</v>
      </c>
      <c r="D773" t="s">
        <v>1206</v>
      </c>
      <c r="E773" s="26"/>
      <c r="G773">
        <v>2015</v>
      </c>
      <c r="H773" t="s">
        <v>2503</v>
      </c>
      <c r="I773" t="s">
        <v>33</v>
      </c>
      <c r="J773" t="s">
        <v>39</v>
      </c>
      <c r="K773">
        <v>27606340</v>
      </c>
      <c r="L773" t="s">
        <v>2504</v>
      </c>
      <c r="M773" t="s">
        <v>1405</v>
      </c>
      <c r="N773" t="s">
        <v>1210</v>
      </c>
      <c r="P773">
        <v>27606340</v>
      </c>
      <c r="Q773">
        <v>30000000</v>
      </c>
    </row>
    <row r="774" spans="1:17">
      <c r="A774" t="s">
        <v>2502</v>
      </c>
      <c r="B774" s="26">
        <v>42558</v>
      </c>
      <c r="C774" s="26">
        <v>42558</v>
      </c>
      <c r="D774" t="s">
        <v>1206</v>
      </c>
      <c r="E774" s="26"/>
      <c r="G774">
        <v>2015</v>
      </c>
      <c r="H774" t="s">
        <v>2503</v>
      </c>
      <c r="I774" t="s">
        <v>33</v>
      </c>
      <c r="J774" t="s">
        <v>47</v>
      </c>
      <c r="K774">
        <v>27606340</v>
      </c>
      <c r="L774" t="s">
        <v>2175</v>
      </c>
      <c r="M774" t="s">
        <v>1405</v>
      </c>
      <c r="N774" t="s">
        <v>1210</v>
      </c>
      <c r="P774">
        <v>27606340</v>
      </c>
      <c r="Q774">
        <v>30000000</v>
      </c>
    </row>
    <row r="775" spans="1:17">
      <c r="A775" t="s">
        <v>2505</v>
      </c>
      <c r="B775" s="26">
        <v>44288</v>
      </c>
      <c r="C775" s="26">
        <v>44357</v>
      </c>
      <c r="D775" t="s">
        <v>939</v>
      </c>
      <c r="E775" s="26"/>
      <c r="G775">
        <v>2017</v>
      </c>
      <c r="H775" t="s">
        <v>2506</v>
      </c>
      <c r="I775" t="s">
        <v>33</v>
      </c>
      <c r="J775" t="s">
        <v>47</v>
      </c>
      <c r="K775">
        <v>699589608</v>
      </c>
      <c r="L775" t="s">
        <v>2175</v>
      </c>
      <c r="M775" t="s">
        <v>2507</v>
      </c>
      <c r="N775" t="s">
        <v>1210</v>
      </c>
      <c r="O775">
        <v>699589608</v>
      </c>
      <c r="P775">
        <v>729198201</v>
      </c>
    </row>
    <row r="776" spans="1:17">
      <c r="A776" t="s">
        <v>2508</v>
      </c>
      <c r="B776" s="26">
        <v>41186</v>
      </c>
      <c r="C776" s="26">
        <v>41186</v>
      </c>
      <c r="D776" t="s">
        <v>939</v>
      </c>
      <c r="E776" s="26"/>
      <c r="G776">
        <v>2012</v>
      </c>
      <c r="H776" t="s">
        <v>2509</v>
      </c>
      <c r="I776" t="s">
        <v>33</v>
      </c>
      <c r="J776" t="s">
        <v>44</v>
      </c>
      <c r="K776">
        <v>1200100</v>
      </c>
      <c r="L776" t="s">
        <v>1408</v>
      </c>
      <c r="M776" t="s">
        <v>1409</v>
      </c>
      <c r="N776" t="s">
        <v>1210</v>
      </c>
      <c r="O776">
        <v>1200100</v>
      </c>
      <c r="P776">
        <v>1200100</v>
      </c>
      <c r="Q776">
        <v>1300000</v>
      </c>
    </row>
    <row r="777" spans="1:17">
      <c r="A777" t="s">
        <v>2510</v>
      </c>
      <c r="B777" s="26">
        <v>43795</v>
      </c>
      <c r="C777" s="26">
        <v>43795</v>
      </c>
      <c r="D777" t="s">
        <v>939</v>
      </c>
      <c r="E777" s="26"/>
      <c r="G777">
        <v>2019</v>
      </c>
      <c r="H777" t="s">
        <v>2511</v>
      </c>
      <c r="I777" t="s">
        <v>41</v>
      </c>
      <c r="J777" t="s">
        <v>156</v>
      </c>
      <c r="K777" t="s">
        <v>2512</v>
      </c>
      <c r="L777" t="s">
        <v>2513</v>
      </c>
      <c r="M777" t="s">
        <v>1791</v>
      </c>
      <c r="N777" t="s">
        <v>963</v>
      </c>
      <c r="O777" t="s">
        <v>2512</v>
      </c>
    </row>
    <row r="778" spans="1:17">
      <c r="A778" t="s">
        <v>2510</v>
      </c>
      <c r="B778" s="26">
        <v>43795</v>
      </c>
      <c r="C778" s="26">
        <v>43795</v>
      </c>
      <c r="D778" t="s">
        <v>939</v>
      </c>
      <c r="E778" s="26"/>
      <c r="G778">
        <v>2019</v>
      </c>
      <c r="H778" t="s">
        <v>2511</v>
      </c>
      <c r="I778" t="s">
        <v>41</v>
      </c>
      <c r="J778" t="s">
        <v>156</v>
      </c>
      <c r="K778" t="s">
        <v>2514</v>
      </c>
      <c r="L778" t="s">
        <v>1760</v>
      </c>
      <c r="M778" t="s">
        <v>1791</v>
      </c>
      <c r="N778" t="s">
        <v>963</v>
      </c>
      <c r="O778" t="s">
        <v>2514</v>
      </c>
    </row>
    <row r="779" spans="1:17">
      <c r="A779" t="s">
        <v>2515</v>
      </c>
      <c r="B779" s="26">
        <v>41864</v>
      </c>
      <c r="C779" s="26">
        <v>41864</v>
      </c>
      <c r="D779" t="s">
        <v>1206</v>
      </c>
      <c r="E779" s="26"/>
      <c r="G779">
        <v>2013</v>
      </c>
      <c r="H779" t="s">
        <v>2516</v>
      </c>
      <c r="I779" t="s">
        <v>41</v>
      </c>
      <c r="J779" t="s">
        <v>35</v>
      </c>
      <c r="K779">
        <v>30000000</v>
      </c>
      <c r="L779" t="s">
        <v>2517</v>
      </c>
      <c r="M779" t="s">
        <v>1409</v>
      </c>
      <c r="N779" t="s">
        <v>1210</v>
      </c>
      <c r="P779">
        <v>30000000</v>
      </c>
      <c r="Q779">
        <v>30000000</v>
      </c>
    </row>
    <row r="780" spans="1:17">
      <c r="A780" t="s">
        <v>2515</v>
      </c>
      <c r="B780" s="26">
        <v>41864</v>
      </c>
      <c r="C780" s="26">
        <v>41864</v>
      </c>
      <c r="D780" t="s">
        <v>1206</v>
      </c>
      <c r="E780" s="26"/>
      <c r="G780">
        <v>2013</v>
      </c>
      <c r="H780" t="s">
        <v>2516</v>
      </c>
      <c r="I780" t="s">
        <v>41</v>
      </c>
      <c r="J780" t="s">
        <v>33</v>
      </c>
      <c r="K780">
        <v>30000000</v>
      </c>
      <c r="L780" t="s">
        <v>2518</v>
      </c>
      <c r="M780" t="s">
        <v>1409</v>
      </c>
      <c r="N780" t="s">
        <v>1210</v>
      </c>
      <c r="P780">
        <v>30000000</v>
      </c>
      <c r="Q780">
        <v>30000000</v>
      </c>
    </row>
    <row r="781" spans="1:17">
      <c r="A781" t="s">
        <v>2515</v>
      </c>
      <c r="B781" s="26">
        <v>41864</v>
      </c>
      <c r="C781" s="26">
        <v>41864</v>
      </c>
      <c r="D781" t="s">
        <v>1206</v>
      </c>
      <c r="E781" s="26"/>
      <c r="G781">
        <v>2013</v>
      </c>
      <c r="H781" t="s">
        <v>2516</v>
      </c>
      <c r="I781" t="s">
        <v>41</v>
      </c>
      <c r="J781" t="s">
        <v>39</v>
      </c>
      <c r="K781">
        <v>30000000</v>
      </c>
      <c r="L781" t="s">
        <v>2519</v>
      </c>
      <c r="M781" t="s">
        <v>1409</v>
      </c>
      <c r="N781" t="s">
        <v>1210</v>
      </c>
      <c r="P781">
        <v>30000000</v>
      </c>
      <c r="Q781">
        <v>30000000</v>
      </c>
    </row>
    <row r="782" spans="1:17">
      <c r="A782" t="s">
        <v>2515</v>
      </c>
      <c r="B782" s="26">
        <v>41864</v>
      </c>
      <c r="C782" s="26">
        <v>41864</v>
      </c>
      <c r="D782" t="s">
        <v>1206</v>
      </c>
      <c r="E782" s="26"/>
      <c r="G782">
        <v>2013</v>
      </c>
      <c r="H782" t="s">
        <v>2516</v>
      </c>
      <c r="I782" t="s">
        <v>41</v>
      </c>
      <c r="J782" t="s">
        <v>47</v>
      </c>
      <c r="K782">
        <v>30000000</v>
      </c>
      <c r="L782" t="s">
        <v>2520</v>
      </c>
      <c r="M782" t="s">
        <v>1409</v>
      </c>
      <c r="N782" t="s">
        <v>1210</v>
      </c>
      <c r="P782">
        <v>30000000</v>
      </c>
      <c r="Q782">
        <v>30000000</v>
      </c>
    </row>
    <row r="783" spans="1:17">
      <c r="A783" t="s">
        <v>2515</v>
      </c>
      <c r="B783" s="26">
        <v>41864</v>
      </c>
      <c r="C783" s="26">
        <v>41864</v>
      </c>
      <c r="D783" t="s">
        <v>1206</v>
      </c>
      <c r="E783" s="26"/>
      <c r="G783">
        <v>2013</v>
      </c>
      <c r="H783" t="s">
        <v>2516</v>
      </c>
      <c r="I783" t="s">
        <v>41</v>
      </c>
      <c r="J783" t="s">
        <v>33</v>
      </c>
      <c r="K783">
        <v>30000000</v>
      </c>
      <c r="L783" t="s">
        <v>2518</v>
      </c>
      <c r="M783" t="s">
        <v>1409</v>
      </c>
      <c r="N783" t="s">
        <v>1210</v>
      </c>
      <c r="P783">
        <v>30000000</v>
      </c>
      <c r="Q783">
        <v>30000000</v>
      </c>
    </row>
    <row r="784" spans="1:17">
      <c r="A784" t="s">
        <v>2515</v>
      </c>
      <c r="B784" s="26">
        <v>41864</v>
      </c>
      <c r="C784" s="26">
        <v>41864</v>
      </c>
      <c r="D784" t="s">
        <v>1206</v>
      </c>
      <c r="E784" s="26"/>
      <c r="G784">
        <v>2013</v>
      </c>
      <c r="H784" t="s">
        <v>2516</v>
      </c>
      <c r="I784" t="s">
        <v>41</v>
      </c>
      <c r="J784" t="s">
        <v>47</v>
      </c>
      <c r="K784">
        <v>30000000</v>
      </c>
      <c r="L784" t="s">
        <v>2520</v>
      </c>
      <c r="M784" t="s">
        <v>1409</v>
      </c>
      <c r="N784" t="s">
        <v>1210</v>
      </c>
      <c r="P784">
        <v>30000000</v>
      </c>
      <c r="Q784">
        <v>30000000</v>
      </c>
    </row>
    <row r="785" spans="1:17">
      <c r="A785" t="s">
        <v>2515</v>
      </c>
      <c r="B785" s="26">
        <v>41864</v>
      </c>
      <c r="C785" s="26">
        <v>41864</v>
      </c>
      <c r="D785" t="s">
        <v>1206</v>
      </c>
      <c r="E785" s="26"/>
      <c r="G785">
        <v>2013</v>
      </c>
      <c r="H785" t="s">
        <v>2516</v>
      </c>
      <c r="I785" t="s">
        <v>41</v>
      </c>
      <c r="J785" t="s">
        <v>35</v>
      </c>
      <c r="K785">
        <v>30000000</v>
      </c>
      <c r="L785" t="s">
        <v>2517</v>
      </c>
      <c r="M785" t="s">
        <v>1409</v>
      </c>
      <c r="N785" t="s">
        <v>1210</v>
      </c>
      <c r="P785">
        <v>30000000</v>
      </c>
      <c r="Q785">
        <v>30000000</v>
      </c>
    </row>
    <row r="786" spans="1:17">
      <c r="A786" t="s">
        <v>2521</v>
      </c>
      <c r="B786" s="26">
        <v>41299</v>
      </c>
      <c r="C786" s="26">
        <v>41299</v>
      </c>
      <c r="D786" t="s">
        <v>939</v>
      </c>
      <c r="E786" s="26"/>
      <c r="G786">
        <v>2012</v>
      </c>
      <c r="H786" t="s">
        <v>2522</v>
      </c>
      <c r="I786" t="s">
        <v>33</v>
      </c>
      <c r="J786" t="s">
        <v>157</v>
      </c>
      <c r="K786">
        <v>149872</v>
      </c>
      <c r="L786" t="s">
        <v>2523</v>
      </c>
      <c r="M786" t="s">
        <v>1409</v>
      </c>
      <c r="N786" t="s">
        <v>1210</v>
      </c>
      <c r="O786">
        <v>149872</v>
      </c>
      <c r="P786">
        <v>149872</v>
      </c>
      <c r="Q786">
        <v>170000</v>
      </c>
    </row>
    <row r="787" spans="1:17">
      <c r="A787" t="s">
        <v>2524</v>
      </c>
      <c r="B787" s="26">
        <v>42922</v>
      </c>
      <c r="C787" s="26">
        <v>42922</v>
      </c>
      <c r="D787" t="s">
        <v>939</v>
      </c>
      <c r="E787" s="26"/>
      <c r="G787">
        <v>2015</v>
      </c>
      <c r="H787" t="s">
        <v>2525</v>
      </c>
      <c r="I787" t="s">
        <v>33</v>
      </c>
      <c r="J787" t="s">
        <v>39</v>
      </c>
      <c r="K787">
        <v>570520757</v>
      </c>
      <c r="L787" t="s">
        <v>2504</v>
      </c>
      <c r="M787" t="s">
        <v>1405</v>
      </c>
      <c r="N787" t="s">
        <v>1210</v>
      </c>
      <c r="O787">
        <v>570520757</v>
      </c>
      <c r="P787">
        <v>570520757</v>
      </c>
      <c r="Q787">
        <v>693000000</v>
      </c>
    </row>
    <row r="788" spans="1:17">
      <c r="A788" t="s">
        <v>2526</v>
      </c>
      <c r="B788" s="26">
        <v>42209</v>
      </c>
      <c r="C788" s="26">
        <v>42313</v>
      </c>
      <c r="D788" t="s">
        <v>1206</v>
      </c>
      <c r="E788" s="26"/>
      <c r="G788">
        <v>2014</v>
      </c>
      <c r="H788" t="s">
        <v>2527</v>
      </c>
      <c r="I788" t="s">
        <v>33</v>
      </c>
      <c r="J788" t="s">
        <v>47</v>
      </c>
      <c r="K788">
        <v>3300000</v>
      </c>
      <c r="L788" t="s">
        <v>2528</v>
      </c>
      <c r="M788" t="s">
        <v>1405</v>
      </c>
      <c r="N788" t="s">
        <v>1210</v>
      </c>
      <c r="P788">
        <v>3300000</v>
      </c>
      <c r="Q788">
        <v>3300000</v>
      </c>
    </row>
    <row r="789" spans="1:17">
      <c r="A789" t="s">
        <v>2529</v>
      </c>
      <c r="B789" s="26">
        <v>42346</v>
      </c>
      <c r="C789" s="26">
        <v>42346</v>
      </c>
      <c r="D789" t="s">
        <v>939</v>
      </c>
      <c r="E789" s="26">
        <v>42346</v>
      </c>
      <c r="G789">
        <v>2015</v>
      </c>
      <c r="H789" t="s">
        <v>2177</v>
      </c>
      <c r="I789" t="s">
        <v>75</v>
      </c>
      <c r="J789" t="s">
        <v>75</v>
      </c>
      <c r="K789" t="s">
        <v>2530</v>
      </c>
      <c r="L789" t="s">
        <v>942</v>
      </c>
      <c r="M789" t="s">
        <v>943</v>
      </c>
      <c r="N789" t="s">
        <v>944</v>
      </c>
      <c r="O789" t="s">
        <v>2530</v>
      </c>
    </row>
    <row r="790" spans="1:17">
      <c r="A790" t="s">
        <v>2531</v>
      </c>
      <c r="B790" s="26">
        <v>42550</v>
      </c>
      <c r="C790" s="26">
        <v>42550</v>
      </c>
      <c r="D790" t="s">
        <v>939</v>
      </c>
      <c r="E790" s="26">
        <v>42550</v>
      </c>
      <c r="G790">
        <v>2016</v>
      </c>
      <c r="H790" t="s">
        <v>2034</v>
      </c>
      <c r="I790" t="s">
        <v>75</v>
      </c>
      <c r="J790" t="s">
        <v>75</v>
      </c>
      <c r="K790" t="s">
        <v>953</v>
      </c>
      <c r="L790" t="s">
        <v>942</v>
      </c>
      <c r="M790" t="s">
        <v>943</v>
      </c>
      <c r="N790" t="s">
        <v>944</v>
      </c>
    </row>
    <row r="791" spans="1:17">
      <c r="A791" t="s">
        <v>2532</v>
      </c>
      <c r="B791" s="26">
        <v>41586</v>
      </c>
      <c r="C791" s="26">
        <v>41586</v>
      </c>
      <c r="D791" t="s">
        <v>939</v>
      </c>
      <c r="E791" s="26">
        <v>41586</v>
      </c>
      <c r="G791">
        <v>2013</v>
      </c>
      <c r="H791" t="s">
        <v>2533</v>
      </c>
      <c r="I791" t="s">
        <v>75</v>
      </c>
      <c r="J791" t="s">
        <v>75</v>
      </c>
      <c r="K791" t="s">
        <v>953</v>
      </c>
      <c r="L791" t="s">
        <v>948</v>
      </c>
      <c r="M791" t="s">
        <v>943</v>
      </c>
      <c r="N791" t="s">
        <v>944</v>
      </c>
    </row>
    <row r="792" spans="1:17">
      <c r="A792" t="s">
        <v>2534</v>
      </c>
      <c r="B792" s="26">
        <v>42549</v>
      </c>
      <c r="C792" s="26">
        <v>42549</v>
      </c>
      <c r="D792" t="s">
        <v>939</v>
      </c>
      <c r="E792" s="26">
        <v>42550</v>
      </c>
      <c r="G792">
        <v>2016</v>
      </c>
      <c r="H792" t="s">
        <v>2535</v>
      </c>
      <c r="I792" t="s">
        <v>75</v>
      </c>
      <c r="J792" t="s">
        <v>75</v>
      </c>
      <c r="K792" t="s">
        <v>2536</v>
      </c>
      <c r="L792" t="s">
        <v>942</v>
      </c>
      <c r="M792" t="s">
        <v>943</v>
      </c>
      <c r="N792" t="s">
        <v>944</v>
      </c>
      <c r="O792" t="s">
        <v>2536</v>
      </c>
    </row>
    <row r="793" spans="1:17">
      <c r="A793" t="s">
        <v>2537</v>
      </c>
      <c r="B793" s="26">
        <v>44068</v>
      </c>
      <c r="C793" s="26">
        <v>44068</v>
      </c>
      <c r="D793" t="s">
        <v>939</v>
      </c>
      <c r="E793" s="26">
        <v>44068</v>
      </c>
      <c r="G793">
        <v>2020</v>
      </c>
      <c r="H793" t="s">
        <v>2538</v>
      </c>
      <c r="I793" t="s">
        <v>75</v>
      </c>
      <c r="J793" t="s">
        <v>75</v>
      </c>
      <c r="K793" t="s">
        <v>953</v>
      </c>
      <c r="L793" t="s">
        <v>967</v>
      </c>
      <c r="M793" t="s">
        <v>943</v>
      </c>
      <c r="N793" t="s">
        <v>944</v>
      </c>
    </row>
    <row r="794" spans="1:17">
      <c r="A794" t="s">
        <v>2539</v>
      </c>
      <c r="B794" s="26">
        <v>44068</v>
      </c>
      <c r="C794" s="26">
        <v>44068</v>
      </c>
      <c r="D794" t="s">
        <v>939</v>
      </c>
      <c r="E794" s="26">
        <v>44068</v>
      </c>
      <c r="G794">
        <v>2020</v>
      </c>
      <c r="H794" t="s">
        <v>2540</v>
      </c>
      <c r="I794" t="s">
        <v>75</v>
      </c>
      <c r="J794" t="s">
        <v>75</v>
      </c>
      <c r="K794" t="s">
        <v>2541</v>
      </c>
      <c r="L794" t="s">
        <v>967</v>
      </c>
      <c r="M794" t="s">
        <v>943</v>
      </c>
      <c r="N794" t="s">
        <v>944</v>
      </c>
      <c r="O794" t="s">
        <v>2541</v>
      </c>
    </row>
    <row r="795" spans="1:17">
      <c r="A795" t="s">
        <v>2542</v>
      </c>
      <c r="B795" s="26">
        <v>44005</v>
      </c>
      <c r="C795" s="26">
        <v>44005</v>
      </c>
      <c r="D795" t="s">
        <v>939</v>
      </c>
      <c r="E795" s="26">
        <v>44005</v>
      </c>
      <c r="G795">
        <v>2020</v>
      </c>
      <c r="H795" t="s">
        <v>2543</v>
      </c>
      <c r="I795" t="s">
        <v>75</v>
      </c>
      <c r="J795" t="s">
        <v>75</v>
      </c>
      <c r="K795" t="s">
        <v>2544</v>
      </c>
      <c r="L795" t="s">
        <v>967</v>
      </c>
      <c r="M795" t="s">
        <v>1005</v>
      </c>
      <c r="N795" t="s">
        <v>963</v>
      </c>
      <c r="O795" t="s">
        <v>2544</v>
      </c>
    </row>
    <row r="796" spans="1:17">
      <c r="A796" t="s">
        <v>2545</v>
      </c>
      <c r="B796" s="26">
        <v>44068</v>
      </c>
      <c r="C796" s="26">
        <v>44068</v>
      </c>
      <c r="D796" t="s">
        <v>939</v>
      </c>
      <c r="E796" s="26">
        <v>44068</v>
      </c>
      <c r="G796">
        <v>2020</v>
      </c>
      <c r="H796" t="s">
        <v>2546</v>
      </c>
      <c r="I796" t="s">
        <v>75</v>
      </c>
      <c r="J796" t="s">
        <v>75</v>
      </c>
      <c r="K796" t="s">
        <v>2547</v>
      </c>
      <c r="L796" t="s">
        <v>967</v>
      </c>
      <c r="M796" t="s">
        <v>943</v>
      </c>
      <c r="N796" t="s">
        <v>944</v>
      </c>
      <c r="O796" t="s">
        <v>2547</v>
      </c>
    </row>
    <row r="797" spans="1:17">
      <c r="A797" t="s">
        <v>2548</v>
      </c>
      <c r="B797" s="26">
        <v>42549</v>
      </c>
      <c r="C797" s="26">
        <v>42549</v>
      </c>
      <c r="D797" t="s">
        <v>939</v>
      </c>
      <c r="E797" s="26">
        <v>42550</v>
      </c>
      <c r="G797">
        <v>2016</v>
      </c>
      <c r="H797" t="s">
        <v>1455</v>
      </c>
      <c r="I797" t="s">
        <v>75</v>
      </c>
      <c r="J797" t="s">
        <v>75</v>
      </c>
      <c r="K797" t="s">
        <v>1456</v>
      </c>
      <c r="L797" t="s">
        <v>942</v>
      </c>
      <c r="M797" t="s">
        <v>943</v>
      </c>
      <c r="N797" t="s">
        <v>944</v>
      </c>
      <c r="O797" t="s">
        <v>1456</v>
      </c>
    </row>
    <row r="798" spans="1:17">
      <c r="A798" t="s">
        <v>2549</v>
      </c>
      <c r="B798" s="26">
        <v>44068</v>
      </c>
      <c r="C798" s="26">
        <v>44068</v>
      </c>
      <c r="D798" t="s">
        <v>939</v>
      </c>
      <c r="E798" s="26">
        <v>44068</v>
      </c>
      <c r="G798">
        <v>2020</v>
      </c>
      <c r="H798" t="s">
        <v>1519</v>
      </c>
      <c r="I798" t="s">
        <v>75</v>
      </c>
      <c r="J798" t="s">
        <v>75</v>
      </c>
      <c r="K798" t="s">
        <v>2550</v>
      </c>
      <c r="L798" t="s">
        <v>967</v>
      </c>
      <c r="M798" t="s">
        <v>943</v>
      </c>
      <c r="N798" t="s">
        <v>944</v>
      </c>
      <c r="O798" t="s">
        <v>2550</v>
      </c>
    </row>
    <row r="799" spans="1:17">
      <c r="A799" t="s">
        <v>2551</v>
      </c>
      <c r="B799" s="26">
        <v>41787</v>
      </c>
      <c r="C799" s="26">
        <v>41787</v>
      </c>
      <c r="D799" t="s">
        <v>939</v>
      </c>
      <c r="E799" s="26">
        <v>41788</v>
      </c>
      <c r="G799">
        <v>2014</v>
      </c>
      <c r="H799" t="s">
        <v>2552</v>
      </c>
      <c r="I799" t="s">
        <v>75</v>
      </c>
      <c r="J799" t="s">
        <v>75</v>
      </c>
      <c r="K799" t="s">
        <v>953</v>
      </c>
      <c r="L799" t="s">
        <v>942</v>
      </c>
      <c r="M799" t="s">
        <v>943</v>
      </c>
      <c r="N799" t="s">
        <v>944</v>
      </c>
    </row>
    <row r="800" spans="1:17">
      <c r="A800" t="s">
        <v>2553</v>
      </c>
      <c r="B800" s="26">
        <v>42549</v>
      </c>
      <c r="C800" s="26">
        <v>42549</v>
      </c>
      <c r="D800" t="s">
        <v>939</v>
      </c>
      <c r="E800" s="26">
        <v>42550</v>
      </c>
      <c r="G800">
        <v>2016</v>
      </c>
      <c r="H800" t="s">
        <v>952</v>
      </c>
      <c r="I800" t="s">
        <v>75</v>
      </c>
      <c r="J800" t="s">
        <v>75</v>
      </c>
      <c r="K800" t="s">
        <v>953</v>
      </c>
      <c r="L800" t="s">
        <v>942</v>
      </c>
      <c r="M800" t="s">
        <v>943</v>
      </c>
      <c r="N800" t="s">
        <v>944</v>
      </c>
    </row>
    <row r="801" spans="1:15">
      <c r="A801" t="s">
        <v>2554</v>
      </c>
      <c r="B801" s="26">
        <v>42346</v>
      </c>
      <c r="C801" s="26">
        <v>42346</v>
      </c>
      <c r="D801" t="s">
        <v>939</v>
      </c>
      <c r="E801" s="26">
        <v>42346</v>
      </c>
      <c r="G801">
        <v>2015</v>
      </c>
      <c r="H801" t="s">
        <v>2555</v>
      </c>
      <c r="I801" t="s">
        <v>75</v>
      </c>
      <c r="J801" t="s">
        <v>75</v>
      </c>
      <c r="K801" t="s">
        <v>2556</v>
      </c>
      <c r="L801" t="s">
        <v>942</v>
      </c>
      <c r="M801" t="s">
        <v>943</v>
      </c>
      <c r="N801" t="s">
        <v>944</v>
      </c>
      <c r="O801" t="s">
        <v>2556</v>
      </c>
    </row>
    <row r="802" spans="1:15">
      <c r="A802" t="s">
        <v>2557</v>
      </c>
      <c r="B802" s="26">
        <v>42453</v>
      </c>
      <c r="C802" s="26">
        <v>42453</v>
      </c>
      <c r="D802" t="s">
        <v>939</v>
      </c>
      <c r="E802" s="26">
        <v>42453</v>
      </c>
      <c r="G802">
        <v>2016</v>
      </c>
      <c r="H802" t="s">
        <v>1022</v>
      </c>
      <c r="I802" t="s">
        <v>75</v>
      </c>
      <c r="J802" t="s">
        <v>75</v>
      </c>
      <c r="K802" t="s">
        <v>953</v>
      </c>
      <c r="L802" t="s">
        <v>942</v>
      </c>
      <c r="M802" t="s">
        <v>968</v>
      </c>
    </row>
    <row r="803" spans="1:15">
      <c r="A803" t="s">
        <v>2558</v>
      </c>
      <c r="B803" s="26">
        <v>44147</v>
      </c>
      <c r="C803" s="26">
        <v>44147</v>
      </c>
      <c r="D803" t="s">
        <v>939</v>
      </c>
      <c r="E803" s="26">
        <v>44147</v>
      </c>
      <c r="G803">
        <v>2020</v>
      </c>
      <c r="H803" t="s">
        <v>2559</v>
      </c>
      <c r="I803" t="s">
        <v>75</v>
      </c>
      <c r="J803" t="s">
        <v>75</v>
      </c>
      <c r="K803" t="s">
        <v>2560</v>
      </c>
      <c r="L803" t="s">
        <v>961</v>
      </c>
      <c r="M803" t="s">
        <v>1122</v>
      </c>
      <c r="N803" t="s">
        <v>963</v>
      </c>
      <c r="O803" t="s">
        <v>2560</v>
      </c>
    </row>
    <row r="804" spans="1:15">
      <c r="A804" t="s">
        <v>2561</v>
      </c>
      <c r="B804" s="26">
        <v>41159</v>
      </c>
      <c r="C804" s="26">
        <v>41159</v>
      </c>
      <c r="D804" t="s">
        <v>939</v>
      </c>
      <c r="E804" s="26">
        <v>41162</v>
      </c>
      <c r="G804">
        <v>2012</v>
      </c>
      <c r="H804" t="s">
        <v>2562</v>
      </c>
      <c r="I804" t="s">
        <v>75</v>
      </c>
      <c r="J804" t="s">
        <v>75</v>
      </c>
      <c r="K804" t="s">
        <v>953</v>
      </c>
      <c r="L804" t="s">
        <v>948</v>
      </c>
      <c r="M804" t="s">
        <v>1036</v>
      </c>
      <c r="N804" t="s">
        <v>963</v>
      </c>
    </row>
    <row r="805" spans="1:15">
      <c r="A805" t="s">
        <v>2563</v>
      </c>
      <c r="B805" s="26">
        <v>42453</v>
      </c>
      <c r="C805" s="26">
        <v>42453</v>
      </c>
      <c r="D805" t="s">
        <v>939</v>
      </c>
      <c r="E805" s="26">
        <v>42453</v>
      </c>
      <c r="G805">
        <v>2016</v>
      </c>
      <c r="H805" t="s">
        <v>1822</v>
      </c>
      <c r="I805" t="s">
        <v>75</v>
      </c>
      <c r="J805" t="s">
        <v>75</v>
      </c>
      <c r="K805" t="s">
        <v>1061</v>
      </c>
      <c r="L805" t="s">
        <v>942</v>
      </c>
      <c r="M805" t="s">
        <v>968</v>
      </c>
      <c r="O805" t="s">
        <v>1061</v>
      </c>
    </row>
    <row r="806" spans="1:15">
      <c r="A806" t="s">
        <v>2564</v>
      </c>
      <c r="B806" s="26">
        <v>42549</v>
      </c>
      <c r="C806" s="26">
        <v>42549</v>
      </c>
      <c r="D806" t="s">
        <v>939</v>
      </c>
      <c r="E806" s="26">
        <v>42550</v>
      </c>
      <c r="G806">
        <v>2016</v>
      </c>
      <c r="H806" t="s">
        <v>1423</v>
      </c>
      <c r="I806" t="s">
        <v>75</v>
      </c>
      <c r="J806" t="s">
        <v>75</v>
      </c>
      <c r="K806" t="s">
        <v>2565</v>
      </c>
      <c r="L806" t="s">
        <v>942</v>
      </c>
      <c r="M806" t="s">
        <v>943</v>
      </c>
      <c r="N806" t="s">
        <v>944</v>
      </c>
      <c r="O806" t="s">
        <v>2565</v>
      </c>
    </row>
    <row r="807" spans="1:15">
      <c r="A807" t="s">
        <v>2566</v>
      </c>
      <c r="B807" s="26">
        <v>42549</v>
      </c>
      <c r="C807" s="26">
        <v>42549</v>
      </c>
      <c r="D807" t="s">
        <v>939</v>
      </c>
      <c r="E807" s="26">
        <v>42550</v>
      </c>
      <c r="G807">
        <v>2016</v>
      </c>
      <c r="H807" t="s">
        <v>1442</v>
      </c>
      <c r="I807" t="s">
        <v>75</v>
      </c>
      <c r="J807" t="s">
        <v>75</v>
      </c>
      <c r="K807" t="s">
        <v>953</v>
      </c>
      <c r="L807" t="s">
        <v>942</v>
      </c>
      <c r="M807" t="s">
        <v>943</v>
      </c>
      <c r="N807" t="s">
        <v>944</v>
      </c>
    </row>
    <row r="808" spans="1:15">
      <c r="A808" t="s">
        <v>2567</v>
      </c>
      <c r="B808" s="26">
        <v>43938</v>
      </c>
      <c r="C808" s="26">
        <v>43938</v>
      </c>
      <c r="D808" t="s">
        <v>939</v>
      </c>
      <c r="E808" s="26">
        <v>43942</v>
      </c>
      <c r="G808">
        <v>2020</v>
      </c>
      <c r="H808" t="s">
        <v>2568</v>
      </c>
      <c r="I808" t="s">
        <v>75</v>
      </c>
      <c r="J808" t="s">
        <v>75</v>
      </c>
      <c r="K808" t="s">
        <v>2569</v>
      </c>
      <c r="L808" t="s">
        <v>967</v>
      </c>
      <c r="M808" t="s">
        <v>1005</v>
      </c>
      <c r="N808" t="s">
        <v>963</v>
      </c>
      <c r="O808" t="s">
        <v>2569</v>
      </c>
    </row>
    <row r="809" spans="1:15">
      <c r="A809" t="s">
        <v>2570</v>
      </c>
      <c r="B809" s="26">
        <v>44068</v>
      </c>
      <c r="C809" s="26">
        <v>44068</v>
      </c>
      <c r="D809" t="s">
        <v>939</v>
      </c>
      <c r="E809" s="26">
        <v>44068</v>
      </c>
      <c r="G809">
        <v>2020</v>
      </c>
      <c r="H809" t="s">
        <v>2571</v>
      </c>
      <c r="I809" t="s">
        <v>75</v>
      </c>
      <c r="J809" t="s">
        <v>75</v>
      </c>
      <c r="K809" t="s">
        <v>2572</v>
      </c>
      <c r="L809" t="s">
        <v>967</v>
      </c>
      <c r="M809" t="s">
        <v>943</v>
      </c>
      <c r="N809" t="s">
        <v>944</v>
      </c>
      <c r="O809" t="s">
        <v>2572</v>
      </c>
    </row>
    <row r="810" spans="1:15">
      <c r="A810" t="s">
        <v>2573</v>
      </c>
      <c r="B810" s="26">
        <v>44055</v>
      </c>
      <c r="C810" s="26">
        <v>44055</v>
      </c>
      <c r="D810" t="s">
        <v>939</v>
      </c>
      <c r="E810" s="26">
        <v>44055</v>
      </c>
      <c r="G810">
        <v>2020</v>
      </c>
      <c r="H810" t="s">
        <v>2574</v>
      </c>
      <c r="I810" t="s">
        <v>75</v>
      </c>
      <c r="J810" t="s">
        <v>75</v>
      </c>
      <c r="K810" t="s">
        <v>2575</v>
      </c>
      <c r="L810" t="s">
        <v>967</v>
      </c>
      <c r="M810" t="s">
        <v>968</v>
      </c>
      <c r="O810" t="s">
        <v>2575</v>
      </c>
    </row>
    <row r="811" spans="1:15">
      <c r="A811" t="s">
        <v>2576</v>
      </c>
      <c r="B811" s="26">
        <v>44109</v>
      </c>
      <c r="C811" s="26">
        <v>44109</v>
      </c>
      <c r="D811" t="s">
        <v>939</v>
      </c>
      <c r="E811" s="26">
        <v>44109</v>
      </c>
      <c r="G811">
        <v>2020</v>
      </c>
      <c r="H811" t="s">
        <v>2577</v>
      </c>
      <c r="I811" t="s">
        <v>75</v>
      </c>
      <c r="J811" t="s">
        <v>75</v>
      </c>
      <c r="K811" t="s">
        <v>2578</v>
      </c>
      <c r="L811" t="s">
        <v>967</v>
      </c>
      <c r="M811" t="s">
        <v>968</v>
      </c>
      <c r="O811" t="s">
        <v>2578</v>
      </c>
    </row>
    <row r="812" spans="1:15">
      <c r="A812" t="s">
        <v>2579</v>
      </c>
      <c r="B812" s="26">
        <v>41787</v>
      </c>
      <c r="C812" s="26">
        <v>41787</v>
      </c>
      <c r="D812" t="s">
        <v>939</v>
      </c>
      <c r="E812" s="26">
        <v>41788</v>
      </c>
      <c r="G812">
        <v>2014</v>
      </c>
      <c r="H812" t="s">
        <v>2580</v>
      </c>
      <c r="I812" t="s">
        <v>75</v>
      </c>
      <c r="J812" t="s">
        <v>75</v>
      </c>
      <c r="K812" t="s">
        <v>953</v>
      </c>
      <c r="L812" t="s">
        <v>942</v>
      </c>
      <c r="M812" t="s">
        <v>943</v>
      </c>
      <c r="N812" t="s">
        <v>944</v>
      </c>
    </row>
    <row r="813" spans="1:15">
      <c r="A813" t="s">
        <v>2581</v>
      </c>
      <c r="B813" s="26">
        <v>42549</v>
      </c>
      <c r="C813" s="26">
        <v>42549</v>
      </c>
      <c r="D813" t="s">
        <v>939</v>
      </c>
      <c r="E813" s="26">
        <v>42550</v>
      </c>
      <c r="G813">
        <v>2016</v>
      </c>
      <c r="H813" t="s">
        <v>1044</v>
      </c>
      <c r="I813" t="s">
        <v>75</v>
      </c>
      <c r="J813" t="s">
        <v>75</v>
      </c>
      <c r="K813" t="s">
        <v>1098</v>
      </c>
      <c r="L813" t="s">
        <v>942</v>
      </c>
      <c r="M813" t="s">
        <v>943</v>
      </c>
      <c r="N813" t="s">
        <v>944</v>
      </c>
      <c r="O813" t="s">
        <v>1098</v>
      </c>
    </row>
    <row r="814" spans="1:15">
      <c r="A814" t="s">
        <v>2582</v>
      </c>
      <c r="B814" s="26">
        <v>42345</v>
      </c>
      <c r="C814" s="26">
        <v>42345</v>
      </c>
      <c r="D814" t="s">
        <v>939</v>
      </c>
      <c r="E814" s="26">
        <v>42346</v>
      </c>
      <c r="G814">
        <v>2015</v>
      </c>
      <c r="H814" t="s">
        <v>2583</v>
      </c>
      <c r="I814" t="s">
        <v>75</v>
      </c>
      <c r="J814" t="s">
        <v>75</v>
      </c>
      <c r="K814" t="s">
        <v>994</v>
      </c>
      <c r="L814" t="s">
        <v>942</v>
      </c>
      <c r="M814" t="s">
        <v>943</v>
      </c>
      <c r="N814" t="s">
        <v>944</v>
      </c>
      <c r="O814" t="s">
        <v>994</v>
      </c>
    </row>
    <row r="815" spans="1:15">
      <c r="A815" t="s">
        <v>2584</v>
      </c>
      <c r="B815" s="26">
        <v>44068</v>
      </c>
      <c r="C815" s="26">
        <v>44068</v>
      </c>
      <c r="D815" t="s">
        <v>939</v>
      </c>
      <c r="E815" s="26">
        <v>44068</v>
      </c>
      <c r="G815">
        <v>2020</v>
      </c>
      <c r="H815" t="s">
        <v>2585</v>
      </c>
      <c r="I815" t="s">
        <v>75</v>
      </c>
      <c r="J815" t="s">
        <v>75</v>
      </c>
      <c r="K815" t="s">
        <v>1109</v>
      </c>
      <c r="L815" t="s">
        <v>967</v>
      </c>
      <c r="M815" t="s">
        <v>943</v>
      </c>
      <c r="N815" t="s">
        <v>944</v>
      </c>
      <c r="O815" t="s">
        <v>1109</v>
      </c>
    </row>
    <row r="816" spans="1:15">
      <c r="A816" t="s">
        <v>2586</v>
      </c>
      <c r="B816" s="26">
        <v>43697</v>
      </c>
      <c r="C816" s="26">
        <v>43697</v>
      </c>
      <c r="D816" t="s">
        <v>939</v>
      </c>
      <c r="E816" s="26">
        <v>43697</v>
      </c>
      <c r="G816">
        <v>2019</v>
      </c>
      <c r="H816" t="s">
        <v>2587</v>
      </c>
      <c r="I816" t="s">
        <v>75</v>
      </c>
      <c r="J816" t="s">
        <v>75</v>
      </c>
      <c r="K816" t="s">
        <v>2588</v>
      </c>
      <c r="L816" t="s">
        <v>967</v>
      </c>
      <c r="M816" t="s">
        <v>968</v>
      </c>
      <c r="O816" t="s">
        <v>2588</v>
      </c>
    </row>
    <row r="817" spans="1:15">
      <c r="A817" t="s">
        <v>2589</v>
      </c>
      <c r="B817" s="26">
        <v>43627</v>
      </c>
      <c r="C817" s="26">
        <v>43627</v>
      </c>
      <c r="D817" t="s">
        <v>939</v>
      </c>
      <c r="E817" s="26">
        <v>43627</v>
      </c>
      <c r="G817">
        <v>2019</v>
      </c>
      <c r="H817" t="s">
        <v>2590</v>
      </c>
      <c r="I817" t="s">
        <v>75</v>
      </c>
      <c r="J817" t="s">
        <v>75</v>
      </c>
      <c r="K817" t="s">
        <v>2591</v>
      </c>
      <c r="L817" t="s">
        <v>1943</v>
      </c>
      <c r="M817" t="s">
        <v>943</v>
      </c>
      <c r="N817" t="s">
        <v>944</v>
      </c>
      <c r="O817" t="s">
        <v>2591</v>
      </c>
    </row>
    <row r="818" spans="1:15">
      <c r="A818" t="s">
        <v>2592</v>
      </c>
      <c r="B818" s="26">
        <v>43447</v>
      </c>
      <c r="C818" s="26">
        <v>43447</v>
      </c>
      <c r="D818" t="s">
        <v>939</v>
      </c>
      <c r="E818" s="26">
        <v>43447</v>
      </c>
      <c r="G818">
        <v>2018</v>
      </c>
      <c r="H818" t="s">
        <v>2593</v>
      </c>
      <c r="I818" t="s">
        <v>75</v>
      </c>
      <c r="J818" t="s">
        <v>75</v>
      </c>
      <c r="K818" t="s">
        <v>2594</v>
      </c>
      <c r="L818" t="s">
        <v>948</v>
      </c>
      <c r="M818" t="s">
        <v>943</v>
      </c>
      <c r="N818" t="s">
        <v>944</v>
      </c>
      <c r="O818" t="s">
        <v>2594</v>
      </c>
    </row>
    <row r="819" spans="1:15">
      <c r="A819" t="s">
        <v>2595</v>
      </c>
      <c r="B819" s="26">
        <v>42677</v>
      </c>
      <c r="C819" s="26">
        <v>42677</v>
      </c>
      <c r="D819" t="s">
        <v>939</v>
      </c>
      <c r="E819" s="26">
        <v>42681</v>
      </c>
      <c r="G819">
        <v>2016</v>
      </c>
      <c r="H819" t="s">
        <v>2596</v>
      </c>
      <c r="I819" t="s">
        <v>75</v>
      </c>
      <c r="J819" t="s">
        <v>75</v>
      </c>
      <c r="K819" t="s">
        <v>2597</v>
      </c>
      <c r="L819" t="s">
        <v>948</v>
      </c>
      <c r="M819" t="s">
        <v>943</v>
      </c>
      <c r="N819" t="s">
        <v>944</v>
      </c>
      <c r="O819" t="s">
        <v>2597</v>
      </c>
    </row>
    <row r="820" spans="1:15">
      <c r="A820" t="s">
        <v>2598</v>
      </c>
      <c r="B820" s="26">
        <v>43447</v>
      </c>
      <c r="C820" s="26">
        <v>43447</v>
      </c>
      <c r="D820" t="s">
        <v>939</v>
      </c>
      <c r="E820" s="26">
        <v>43447</v>
      </c>
      <c r="G820">
        <v>2018</v>
      </c>
      <c r="H820" t="s">
        <v>2599</v>
      </c>
      <c r="I820" t="s">
        <v>75</v>
      </c>
      <c r="J820" t="s">
        <v>75</v>
      </c>
      <c r="K820" t="s">
        <v>2600</v>
      </c>
      <c r="L820" t="s">
        <v>948</v>
      </c>
      <c r="M820" t="s">
        <v>943</v>
      </c>
      <c r="N820" t="s">
        <v>944</v>
      </c>
      <c r="O820" t="s">
        <v>2600</v>
      </c>
    </row>
    <row r="821" spans="1:15">
      <c r="A821" t="s">
        <v>2601</v>
      </c>
      <c r="B821" s="26">
        <v>42549</v>
      </c>
      <c r="C821" s="26">
        <v>42549</v>
      </c>
      <c r="D821" t="s">
        <v>939</v>
      </c>
      <c r="E821" s="26">
        <v>42550</v>
      </c>
      <c r="G821">
        <v>2016</v>
      </c>
      <c r="H821" t="s">
        <v>1875</v>
      </c>
      <c r="I821" t="s">
        <v>75</v>
      </c>
      <c r="J821" t="s">
        <v>75</v>
      </c>
      <c r="K821" t="s">
        <v>1926</v>
      </c>
      <c r="L821" t="s">
        <v>942</v>
      </c>
      <c r="M821" t="s">
        <v>943</v>
      </c>
      <c r="N821" t="s">
        <v>944</v>
      </c>
      <c r="O821" t="s">
        <v>1926</v>
      </c>
    </row>
    <row r="822" spans="1:15">
      <c r="A822" t="s">
        <v>2602</v>
      </c>
      <c r="B822" s="26">
        <v>43741</v>
      </c>
      <c r="C822" s="26">
        <v>43741</v>
      </c>
      <c r="D822" t="s">
        <v>939</v>
      </c>
      <c r="E822" s="26">
        <v>43741</v>
      </c>
      <c r="G822">
        <v>2019</v>
      </c>
      <c r="H822" t="s">
        <v>2603</v>
      </c>
      <c r="I822" t="s">
        <v>75</v>
      </c>
      <c r="J822" t="s">
        <v>75</v>
      </c>
      <c r="K822" t="s">
        <v>2604</v>
      </c>
      <c r="L822" t="s">
        <v>967</v>
      </c>
      <c r="M822" t="s">
        <v>968</v>
      </c>
      <c r="O822" t="s">
        <v>2604</v>
      </c>
    </row>
    <row r="823" spans="1:15">
      <c r="A823" t="s">
        <v>2605</v>
      </c>
      <c r="B823" s="26">
        <v>42345</v>
      </c>
      <c r="C823" s="26">
        <v>42345</v>
      </c>
      <c r="D823" t="s">
        <v>939</v>
      </c>
      <c r="E823" s="26">
        <v>42346</v>
      </c>
      <c r="G823">
        <v>2015</v>
      </c>
      <c r="H823" t="s">
        <v>2606</v>
      </c>
      <c r="I823" t="s">
        <v>75</v>
      </c>
      <c r="J823" t="s">
        <v>75</v>
      </c>
      <c r="K823" t="s">
        <v>2607</v>
      </c>
      <c r="L823" t="s">
        <v>942</v>
      </c>
      <c r="M823" t="s">
        <v>943</v>
      </c>
      <c r="N823" t="s">
        <v>944</v>
      </c>
      <c r="O823" t="s">
        <v>2607</v>
      </c>
    </row>
    <row r="824" spans="1:15">
      <c r="A824" t="s">
        <v>2608</v>
      </c>
      <c r="B824" s="26">
        <v>42549</v>
      </c>
      <c r="C824" s="26">
        <v>42549</v>
      </c>
      <c r="D824" t="s">
        <v>939</v>
      </c>
      <c r="E824" s="26">
        <v>42550</v>
      </c>
      <c r="G824">
        <v>2016</v>
      </c>
      <c r="H824" t="s">
        <v>1038</v>
      </c>
      <c r="I824" t="s">
        <v>75</v>
      </c>
      <c r="J824" t="s">
        <v>75</v>
      </c>
      <c r="K824" t="s">
        <v>1039</v>
      </c>
      <c r="L824" t="s">
        <v>942</v>
      </c>
      <c r="M824" t="s">
        <v>943</v>
      </c>
      <c r="N824" t="s">
        <v>944</v>
      </c>
      <c r="O824" t="s">
        <v>1039</v>
      </c>
    </row>
    <row r="825" spans="1:15">
      <c r="A825" t="s">
        <v>2609</v>
      </c>
      <c r="B825" s="26">
        <v>43026</v>
      </c>
      <c r="C825" s="26">
        <v>43026</v>
      </c>
      <c r="D825" t="s">
        <v>939</v>
      </c>
      <c r="E825" s="26">
        <v>43026</v>
      </c>
      <c r="G825">
        <v>2017</v>
      </c>
      <c r="H825" t="s">
        <v>2610</v>
      </c>
      <c r="I825" t="s">
        <v>75</v>
      </c>
      <c r="J825" t="s">
        <v>75</v>
      </c>
      <c r="K825" t="s">
        <v>2611</v>
      </c>
      <c r="L825" t="s">
        <v>942</v>
      </c>
      <c r="M825" t="s">
        <v>968</v>
      </c>
      <c r="O825" t="s">
        <v>2611</v>
      </c>
    </row>
    <row r="826" spans="1:15">
      <c r="A826" t="s">
        <v>2612</v>
      </c>
      <c r="B826" s="26">
        <v>42549</v>
      </c>
      <c r="C826" s="26">
        <v>42549</v>
      </c>
      <c r="D826" t="s">
        <v>939</v>
      </c>
      <c r="E826" s="26">
        <v>42550</v>
      </c>
      <c r="G826">
        <v>2016</v>
      </c>
      <c r="H826" t="s">
        <v>2535</v>
      </c>
      <c r="I826" t="s">
        <v>75</v>
      </c>
      <c r="J826" t="s">
        <v>75</v>
      </c>
      <c r="K826" t="s">
        <v>2536</v>
      </c>
      <c r="L826" t="s">
        <v>942</v>
      </c>
      <c r="M826" t="s">
        <v>943</v>
      </c>
      <c r="N826" t="s">
        <v>944</v>
      </c>
      <c r="O826" t="s">
        <v>2536</v>
      </c>
    </row>
    <row r="827" spans="1:15">
      <c r="A827" t="s">
        <v>2613</v>
      </c>
      <c r="B827" s="26">
        <v>42549</v>
      </c>
      <c r="C827" s="26">
        <v>42549</v>
      </c>
      <c r="D827" t="s">
        <v>939</v>
      </c>
      <c r="E827" s="26">
        <v>42550</v>
      </c>
      <c r="G827">
        <v>2016</v>
      </c>
      <c r="H827" t="s">
        <v>1013</v>
      </c>
      <c r="I827" t="s">
        <v>75</v>
      </c>
      <c r="J827" t="s">
        <v>75</v>
      </c>
      <c r="K827" t="s">
        <v>1014</v>
      </c>
      <c r="L827" t="s">
        <v>942</v>
      </c>
      <c r="M827" t="s">
        <v>943</v>
      </c>
      <c r="N827" t="s">
        <v>944</v>
      </c>
      <c r="O827" t="s">
        <v>1014</v>
      </c>
    </row>
    <row r="828" spans="1:15">
      <c r="A828" t="s">
        <v>2614</v>
      </c>
      <c r="B828" s="26">
        <v>43447</v>
      </c>
      <c r="C828" s="26">
        <v>43447</v>
      </c>
      <c r="D828" t="s">
        <v>939</v>
      </c>
      <c r="E828" s="26">
        <v>43447</v>
      </c>
      <c r="G828">
        <v>2018</v>
      </c>
      <c r="H828" t="s">
        <v>2615</v>
      </c>
      <c r="I828" t="s">
        <v>75</v>
      </c>
      <c r="J828" t="s">
        <v>75</v>
      </c>
      <c r="K828" t="s">
        <v>953</v>
      </c>
      <c r="L828" t="s">
        <v>948</v>
      </c>
      <c r="M828" t="s">
        <v>943</v>
      </c>
      <c r="N828" t="s">
        <v>944</v>
      </c>
    </row>
    <row r="829" spans="1:15">
      <c r="A829" t="s">
        <v>2616</v>
      </c>
      <c r="B829" s="26">
        <v>42549</v>
      </c>
      <c r="C829" s="26">
        <v>42549</v>
      </c>
      <c r="D829" t="s">
        <v>939</v>
      </c>
      <c r="E829" s="26">
        <v>42550</v>
      </c>
      <c r="G829">
        <v>2016</v>
      </c>
      <c r="H829" t="s">
        <v>2617</v>
      </c>
      <c r="I829" t="s">
        <v>75</v>
      </c>
      <c r="J829" t="s">
        <v>75</v>
      </c>
      <c r="K829" t="s">
        <v>2618</v>
      </c>
      <c r="L829" t="s">
        <v>942</v>
      </c>
      <c r="M829" t="s">
        <v>943</v>
      </c>
      <c r="N829" t="s">
        <v>944</v>
      </c>
      <c r="O829" t="s">
        <v>2618</v>
      </c>
    </row>
    <row r="830" spans="1:15">
      <c r="A830" t="s">
        <v>2619</v>
      </c>
      <c r="B830" s="26">
        <v>42345</v>
      </c>
      <c r="C830" s="26">
        <v>42345</v>
      </c>
      <c r="D830" t="s">
        <v>939</v>
      </c>
      <c r="E830" s="26">
        <v>42346</v>
      </c>
      <c r="G830">
        <v>2015</v>
      </c>
      <c r="H830" t="s">
        <v>2620</v>
      </c>
      <c r="I830" t="s">
        <v>75</v>
      </c>
      <c r="J830" t="s">
        <v>75</v>
      </c>
      <c r="K830">
        <v>-263917</v>
      </c>
      <c r="L830" t="s">
        <v>942</v>
      </c>
      <c r="M830" t="s">
        <v>943</v>
      </c>
      <c r="N830" t="s">
        <v>944</v>
      </c>
      <c r="O830" t="s">
        <v>2621</v>
      </c>
    </row>
    <row r="831" spans="1:15">
      <c r="A831" t="s">
        <v>2622</v>
      </c>
      <c r="B831" s="26">
        <v>42550</v>
      </c>
      <c r="C831" s="26">
        <v>42550</v>
      </c>
      <c r="D831" t="s">
        <v>939</v>
      </c>
      <c r="E831" s="26">
        <v>42550</v>
      </c>
      <c r="G831">
        <v>2016</v>
      </c>
      <c r="H831" t="s">
        <v>1976</v>
      </c>
      <c r="I831" t="s">
        <v>75</v>
      </c>
      <c r="J831" t="s">
        <v>75</v>
      </c>
      <c r="K831" t="s">
        <v>953</v>
      </c>
      <c r="L831" t="s">
        <v>942</v>
      </c>
      <c r="M831" t="s">
        <v>943</v>
      </c>
      <c r="N831" t="s">
        <v>944</v>
      </c>
    </row>
    <row r="832" spans="1:15">
      <c r="A832" t="s">
        <v>2623</v>
      </c>
      <c r="B832" s="26">
        <v>42549</v>
      </c>
      <c r="C832" s="26">
        <v>42549</v>
      </c>
      <c r="D832" t="s">
        <v>939</v>
      </c>
      <c r="E832" s="26">
        <v>42550</v>
      </c>
      <c r="G832">
        <v>2016</v>
      </c>
      <c r="H832" t="s">
        <v>1970</v>
      </c>
      <c r="I832" t="s">
        <v>75</v>
      </c>
      <c r="J832" t="s">
        <v>75</v>
      </c>
      <c r="K832" t="s">
        <v>953</v>
      </c>
      <c r="L832" t="s">
        <v>942</v>
      </c>
      <c r="M832" t="s">
        <v>943</v>
      </c>
      <c r="N832" t="s">
        <v>944</v>
      </c>
    </row>
    <row r="833" spans="1:16">
      <c r="A833" t="s">
        <v>2624</v>
      </c>
      <c r="B833" s="26">
        <v>42549</v>
      </c>
      <c r="C833" s="26">
        <v>42549</v>
      </c>
      <c r="D833" t="s">
        <v>939</v>
      </c>
      <c r="E833" s="26">
        <v>42550</v>
      </c>
      <c r="G833">
        <v>2016</v>
      </c>
      <c r="H833" t="s">
        <v>1078</v>
      </c>
      <c r="I833" t="s">
        <v>75</v>
      </c>
      <c r="J833" t="s">
        <v>75</v>
      </c>
      <c r="K833" t="s">
        <v>953</v>
      </c>
      <c r="L833" t="s">
        <v>942</v>
      </c>
      <c r="M833" t="s">
        <v>943</v>
      </c>
      <c r="N833" t="s">
        <v>944</v>
      </c>
    </row>
    <row r="834" spans="1:16">
      <c r="A834" t="s">
        <v>2625</v>
      </c>
      <c r="B834" s="26">
        <v>42384</v>
      </c>
      <c r="C834" s="26">
        <v>42384</v>
      </c>
      <c r="D834" t="s">
        <v>939</v>
      </c>
      <c r="E834" s="26">
        <v>42384</v>
      </c>
      <c r="G834">
        <v>2016</v>
      </c>
      <c r="H834" t="s">
        <v>1862</v>
      </c>
      <c r="I834" t="s">
        <v>75</v>
      </c>
      <c r="J834" t="s">
        <v>75</v>
      </c>
      <c r="K834" t="s">
        <v>953</v>
      </c>
      <c r="L834" t="s">
        <v>942</v>
      </c>
      <c r="M834" t="s">
        <v>968</v>
      </c>
    </row>
    <row r="835" spans="1:16">
      <c r="A835" t="s">
        <v>2626</v>
      </c>
      <c r="B835" s="26">
        <v>42549</v>
      </c>
      <c r="C835" s="26">
        <v>42549</v>
      </c>
      <c r="D835" t="s">
        <v>939</v>
      </c>
      <c r="E835" s="26">
        <v>42550</v>
      </c>
      <c r="G835">
        <v>2016</v>
      </c>
      <c r="H835" t="s">
        <v>1196</v>
      </c>
      <c r="I835" t="s">
        <v>75</v>
      </c>
      <c r="J835" t="s">
        <v>75</v>
      </c>
      <c r="K835" t="s">
        <v>953</v>
      </c>
      <c r="L835" t="s">
        <v>942</v>
      </c>
      <c r="M835" t="s">
        <v>943</v>
      </c>
      <c r="N835" t="s">
        <v>944</v>
      </c>
    </row>
    <row r="836" spans="1:16">
      <c r="A836" t="s">
        <v>2627</v>
      </c>
      <c r="B836" s="26">
        <v>42549</v>
      </c>
      <c r="C836" s="26">
        <v>42549</v>
      </c>
      <c r="D836" t="s">
        <v>939</v>
      </c>
      <c r="E836" s="26">
        <v>42550</v>
      </c>
      <c r="G836">
        <v>2016</v>
      </c>
      <c r="H836" t="s">
        <v>1489</v>
      </c>
      <c r="I836" t="s">
        <v>75</v>
      </c>
      <c r="J836" t="s">
        <v>75</v>
      </c>
      <c r="K836" t="s">
        <v>953</v>
      </c>
      <c r="L836" t="s">
        <v>942</v>
      </c>
      <c r="M836" t="s">
        <v>943</v>
      </c>
      <c r="N836" t="s">
        <v>944</v>
      </c>
    </row>
    <row r="837" spans="1:16">
      <c r="A837" t="s">
        <v>2628</v>
      </c>
      <c r="B837" s="26">
        <v>42549</v>
      </c>
      <c r="C837" s="26">
        <v>42549</v>
      </c>
      <c r="D837" t="s">
        <v>939</v>
      </c>
      <c r="E837" s="26">
        <v>42550</v>
      </c>
      <c r="G837">
        <v>2016</v>
      </c>
      <c r="H837" t="s">
        <v>2629</v>
      </c>
      <c r="I837" t="s">
        <v>75</v>
      </c>
      <c r="J837" t="s">
        <v>75</v>
      </c>
      <c r="K837" t="s">
        <v>953</v>
      </c>
      <c r="L837" t="s">
        <v>942</v>
      </c>
      <c r="M837" t="s">
        <v>943</v>
      </c>
      <c r="N837" t="s">
        <v>944</v>
      </c>
    </row>
    <row r="838" spans="1:16">
      <c r="A838" t="s">
        <v>2630</v>
      </c>
      <c r="B838" s="26">
        <v>42345</v>
      </c>
      <c r="C838" s="26">
        <v>42345</v>
      </c>
      <c r="D838" t="s">
        <v>939</v>
      </c>
      <c r="E838" s="26">
        <v>42346</v>
      </c>
      <c r="G838">
        <v>2015</v>
      </c>
      <c r="H838" t="s">
        <v>2631</v>
      </c>
      <c r="I838" t="s">
        <v>75</v>
      </c>
      <c r="J838" t="s">
        <v>75</v>
      </c>
      <c r="K838" t="s">
        <v>953</v>
      </c>
      <c r="L838" t="s">
        <v>942</v>
      </c>
      <c r="M838" t="s">
        <v>943</v>
      </c>
      <c r="N838" t="s">
        <v>944</v>
      </c>
    </row>
    <row r="839" spans="1:16">
      <c r="A839" t="s">
        <v>2632</v>
      </c>
      <c r="B839" s="26">
        <v>42143</v>
      </c>
      <c r="C839" s="26">
        <v>42143</v>
      </c>
      <c r="D839" t="s">
        <v>939</v>
      </c>
      <c r="E839" s="26">
        <v>42143</v>
      </c>
      <c r="G839">
        <v>2015</v>
      </c>
      <c r="H839" t="s">
        <v>2633</v>
      </c>
      <c r="I839" t="s">
        <v>75</v>
      </c>
      <c r="J839" t="s">
        <v>75</v>
      </c>
      <c r="K839" t="s">
        <v>953</v>
      </c>
      <c r="L839" t="s">
        <v>942</v>
      </c>
      <c r="M839" t="s">
        <v>968</v>
      </c>
    </row>
    <row r="840" spans="1:16">
      <c r="A840" t="s">
        <v>2634</v>
      </c>
      <c r="B840" s="26">
        <v>42549</v>
      </c>
      <c r="C840" s="26">
        <v>42549</v>
      </c>
      <c r="D840" t="s">
        <v>939</v>
      </c>
      <c r="E840" s="26">
        <v>42550</v>
      </c>
      <c r="G840">
        <v>2016</v>
      </c>
      <c r="H840" t="s">
        <v>1071</v>
      </c>
      <c r="I840" t="s">
        <v>75</v>
      </c>
      <c r="J840" t="s">
        <v>75</v>
      </c>
      <c r="K840" t="s">
        <v>953</v>
      </c>
      <c r="L840" t="s">
        <v>942</v>
      </c>
      <c r="M840" t="s">
        <v>943</v>
      </c>
      <c r="N840" t="s">
        <v>944</v>
      </c>
    </row>
    <row r="841" spans="1:16">
      <c r="A841" t="s">
        <v>2635</v>
      </c>
      <c r="B841" s="26">
        <v>42550</v>
      </c>
      <c r="C841" s="26">
        <v>42550</v>
      </c>
      <c r="D841" t="s">
        <v>939</v>
      </c>
      <c r="E841" s="26">
        <v>42550</v>
      </c>
      <c r="G841">
        <v>2016</v>
      </c>
      <c r="H841" t="s">
        <v>1481</v>
      </c>
      <c r="I841" t="s">
        <v>75</v>
      </c>
      <c r="J841" t="s">
        <v>75</v>
      </c>
      <c r="K841" t="s">
        <v>953</v>
      </c>
      <c r="L841" t="s">
        <v>942</v>
      </c>
      <c r="M841" t="s">
        <v>943</v>
      </c>
      <c r="N841" t="s">
        <v>944</v>
      </c>
    </row>
    <row r="842" spans="1:16">
      <c r="A842" t="s">
        <v>2636</v>
      </c>
      <c r="B842" s="26">
        <v>42550</v>
      </c>
      <c r="C842" s="26">
        <v>42550</v>
      </c>
      <c r="D842" t="s">
        <v>939</v>
      </c>
      <c r="E842" s="26">
        <v>42550</v>
      </c>
      <c r="G842">
        <v>2016</v>
      </c>
      <c r="H842" t="s">
        <v>1020</v>
      </c>
      <c r="I842" t="s">
        <v>75</v>
      </c>
      <c r="J842" t="s">
        <v>75</v>
      </c>
      <c r="K842" t="s">
        <v>953</v>
      </c>
      <c r="L842" t="s">
        <v>942</v>
      </c>
      <c r="M842" t="s">
        <v>943</v>
      </c>
      <c r="N842" t="s">
        <v>944</v>
      </c>
    </row>
    <row r="843" spans="1:16">
      <c r="A843" t="s">
        <v>2637</v>
      </c>
      <c r="B843" s="26">
        <v>42549</v>
      </c>
      <c r="C843" s="26">
        <v>42549</v>
      </c>
      <c r="D843" t="s">
        <v>939</v>
      </c>
      <c r="E843" s="26">
        <v>42550</v>
      </c>
      <c r="G843">
        <v>2016</v>
      </c>
      <c r="H843" t="s">
        <v>2629</v>
      </c>
      <c r="I843" t="s">
        <v>75</v>
      </c>
      <c r="J843" t="s">
        <v>75</v>
      </c>
      <c r="K843" t="s">
        <v>953</v>
      </c>
      <c r="L843" t="s">
        <v>942</v>
      </c>
      <c r="M843" t="s">
        <v>943</v>
      </c>
      <c r="N843" t="s">
        <v>944</v>
      </c>
    </row>
    <row r="844" spans="1:16">
      <c r="A844" t="s">
        <v>2638</v>
      </c>
      <c r="B844" s="26">
        <v>43277</v>
      </c>
      <c r="C844" s="26">
        <v>43277</v>
      </c>
      <c r="D844" t="s">
        <v>939</v>
      </c>
      <c r="E844" s="26">
        <v>43277</v>
      </c>
      <c r="G844">
        <v>2018</v>
      </c>
      <c r="H844" t="s">
        <v>2639</v>
      </c>
      <c r="I844" t="s">
        <v>75</v>
      </c>
      <c r="J844" t="s">
        <v>75</v>
      </c>
      <c r="K844" t="s">
        <v>953</v>
      </c>
      <c r="L844" t="s">
        <v>967</v>
      </c>
      <c r="M844" t="s">
        <v>968</v>
      </c>
    </row>
    <row r="845" spans="1:16">
      <c r="A845" t="s">
        <v>2640</v>
      </c>
      <c r="B845" s="26">
        <v>42384</v>
      </c>
      <c r="C845" s="26">
        <v>42384</v>
      </c>
      <c r="D845" t="s">
        <v>939</v>
      </c>
      <c r="E845" s="26">
        <v>42384</v>
      </c>
      <c r="G845">
        <v>2016</v>
      </c>
      <c r="H845" t="s">
        <v>2641</v>
      </c>
      <c r="I845" t="s">
        <v>75</v>
      </c>
      <c r="J845" t="s">
        <v>75</v>
      </c>
      <c r="K845" t="s">
        <v>953</v>
      </c>
      <c r="L845" t="s">
        <v>942</v>
      </c>
      <c r="M845" t="s">
        <v>968</v>
      </c>
    </row>
    <row r="846" spans="1:16">
      <c r="A846" t="s">
        <v>2642</v>
      </c>
      <c r="B846" s="26">
        <v>42549</v>
      </c>
      <c r="C846" s="26">
        <v>42549</v>
      </c>
      <c r="D846" t="s">
        <v>939</v>
      </c>
      <c r="E846" s="26">
        <v>42550</v>
      </c>
      <c r="G846">
        <v>2016</v>
      </c>
      <c r="H846" t="s">
        <v>2617</v>
      </c>
      <c r="I846" t="s">
        <v>75</v>
      </c>
      <c r="J846" t="s">
        <v>75</v>
      </c>
      <c r="K846" t="s">
        <v>2618</v>
      </c>
      <c r="L846" t="s">
        <v>942</v>
      </c>
      <c r="M846" t="s">
        <v>943</v>
      </c>
      <c r="N846" t="s">
        <v>944</v>
      </c>
      <c r="O846" t="s">
        <v>2618</v>
      </c>
    </row>
    <row r="847" spans="1:16">
      <c r="A847" t="s">
        <v>2643</v>
      </c>
      <c r="B847" s="26">
        <v>41247</v>
      </c>
      <c r="C847" s="26">
        <v>41247</v>
      </c>
      <c r="D847" t="s">
        <v>939</v>
      </c>
      <c r="E847" s="26"/>
      <c r="G847">
        <v>2012</v>
      </c>
      <c r="H847" t="s">
        <v>2644</v>
      </c>
      <c r="I847" t="s">
        <v>75</v>
      </c>
      <c r="J847" t="s">
        <v>75</v>
      </c>
      <c r="K847">
        <v>212597</v>
      </c>
      <c r="L847" t="s">
        <v>2645</v>
      </c>
      <c r="M847" t="s">
        <v>2646</v>
      </c>
      <c r="N847" t="s">
        <v>963</v>
      </c>
      <c r="O847">
        <v>212597</v>
      </c>
      <c r="P847">
        <v>212597</v>
      </c>
    </row>
    <row r="848" spans="1:16">
      <c r="A848" t="s">
        <v>2647</v>
      </c>
      <c r="B848" s="26">
        <v>42453</v>
      </c>
      <c r="C848" s="26">
        <v>42453</v>
      </c>
      <c r="D848" t="s">
        <v>939</v>
      </c>
      <c r="E848" s="26">
        <v>42453</v>
      </c>
      <c r="G848">
        <v>2016</v>
      </c>
      <c r="H848" t="s">
        <v>1595</v>
      </c>
      <c r="I848" t="s">
        <v>75</v>
      </c>
      <c r="J848" t="s">
        <v>75</v>
      </c>
      <c r="K848" t="s">
        <v>953</v>
      </c>
      <c r="L848" t="s">
        <v>942</v>
      </c>
      <c r="M848" t="s">
        <v>968</v>
      </c>
    </row>
    <row r="849" spans="1:17">
      <c r="A849" t="s">
        <v>2648</v>
      </c>
      <c r="B849" s="26">
        <v>42346</v>
      </c>
      <c r="C849" s="26">
        <v>42346</v>
      </c>
      <c r="D849" t="s">
        <v>939</v>
      </c>
      <c r="E849" s="26">
        <v>42346</v>
      </c>
      <c r="G849">
        <v>2015</v>
      </c>
      <c r="H849" t="s">
        <v>2649</v>
      </c>
      <c r="I849" t="s">
        <v>75</v>
      </c>
      <c r="J849" t="s">
        <v>75</v>
      </c>
      <c r="K849" t="s">
        <v>2650</v>
      </c>
      <c r="L849" t="s">
        <v>942</v>
      </c>
      <c r="M849" t="s">
        <v>943</v>
      </c>
      <c r="N849" t="s">
        <v>944</v>
      </c>
      <c r="O849" t="s">
        <v>2650</v>
      </c>
    </row>
    <row r="850" spans="1:17">
      <c r="A850" t="s">
        <v>2651</v>
      </c>
      <c r="B850" s="26">
        <v>42549</v>
      </c>
      <c r="C850" s="26">
        <v>42549</v>
      </c>
      <c r="D850" t="s">
        <v>939</v>
      </c>
      <c r="E850" s="26">
        <v>42550</v>
      </c>
      <c r="G850">
        <v>2016</v>
      </c>
      <c r="H850" t="s">
        <v>1423</v>
      </c>
      <c r="I850" t="s">
        <v>75</v>
      </c>
      <c r="J850" t="s">
        <v>75</v>
      </c>
      <c r="K850" t="s">
        <v>2565</v>
      </c>
      <c r="L850" t="s">
        <v>942</v>
      </c>
      <c r="M850" t="s">
        <v>943</v>
      </c>
      <c r="N850" t="s">
        <v>944</v>
      </c>
      <c r="O850" t="s">
        <v>2565</v>
      </c>
    </row>
    <row r="851" spans="1:17">
      <c r="A851" t="s">
        <v>2652</v>
      </c>
      <c r="B851" s="26">
        <v>41787</v>
      </c>
      <c r="C851" s="26">
        <v>41787</v>
      </c>
      <c r="D851" t="s">
        <v>939</v>
      </c>
      <c r="E851" s="26">
        <v>41788</v>
      </c>
      <c r="G851">
        <v>2014</v>
      </c>
      <c r="H851" t="s">
        <v>2653</v>
      </c>
      <c r="I851" t="s">
        <v>75</v>
      </c>
      <c r="J851" t="s">
        <v>75</v>
      </c>
      <c r="K851" t="s">
        <v>953</v>
      </c>
      <c r="L851" t="s">
        <v>942</v>
      </c>
      <c r="M851" t="s">
        <v>943</v>
      </c>
      <c r="N851" t="s">
        <v>944</v>
      </c>
    </row>
    <row r="852" spans="1:17">
      <c r="A852" t="s">
        <v>2654</v>
      </c>
      <c r="B852" s="26">
        <v>42549</v>
      </c>
      <c r="C852" s="26">
        <v>42549</v>
      </c>
      <c r="D852" t="s">
        <v>939</v>
      </c>
      <c r="E852" s="26">
        <v>42550</v>
      </c>
      <c r="G852">
        <v>2016</v>
      </c>
      <c r="H852" t="s">
        <v>2177</v>
      </c>
      <c r="I852" t="s">
        <v>75</v>
      </c>
      <c r="J852" t="s">
        <v>75</v>
      </c>
      <c r="K852" t="s">
        <v>2239</v>
      </c>
      <c r="L852" t="s">
        <v>942</v>
      </c>
      <c r="M852" t="s">
        <v>943</v>
      </c>
      <c r="N852" t="s">
        <v>944</v>
      </c>
      <c r="O852" t="s">
        <v>2239</v>
      </c>
    </row>
    <row r="853" spans="1:17">
      <c r="A853" t="s">
        <v>2655</v>
      </c>
      <c r="B853" s="26">
        <v>43144</v>
      </c>
      <c r="C853" s="26">
        <v>43144</v>
      </c>
      <c r="D853" t="s">
        <v>939</v>
      </c>
      <c r="E853" s="26">
        <v>43144</v>
      </c>
      <c r="G853">
        <v>2018</v>
      </c>
      <c r="H853" t="s">
        <v>2656</v>
      </c>
      <c r="I853" t="s">
        <v>75</v>
      </c>
      <c r="J853" t="s">
        <v>75</v>
      </c>
      <c r="K853" t="s">
        <v>2657</v>
      </c>
      <c r="L853" t="s">
        <v>942</v>
      </c>
      <c r="M853" t="s">
        <v>943</v>
      </c>
      <c r="N853" t="s">
        <v>944</v>
      </c>
      <c r="O853" t="s">
        <v>2657</v>
      </c>
    </row>
    <row r="854" spans="1:17">
      <c r="A854" t="s">
        <v>2658</v>
      </c>
      <c r="B854" s="26">
        <v>41787</v>
      </c>
      <c r="C854" s="26">
        <v>41787</v>
      </c>
      <c r="D854" t="s">
        <v>939</v>
      </c>
      <c r="E854" s="26">
        <v>41788</v>
      </c>
      <c r="G854">
        <v>2014</v>
      </c>
      <c r="H854" t="s">
        <v>2659</v>
      </c>
      <c r="I854" t="s">
        <v>75</v>
      </c>
      <c r="J854" t="s">
        <v>75</v>
      </c>
      <c r="K854" t="s">
        <v>953</v>
      </c>
      <c r="L854" t="s">
        <v>942</v>
      </c>
      <c r="M854" t="s">
        <v>943</v>
      </c>
      <c r="N854" t="s">
        <v>944</v>
      </c>
    </row>
    <row r="855" spans="1:17">
      <c r="A855" t="s">
        <v>2660</v>
      </c>
      <c r="B855" s="26">
        <v>42549</v>
      </c>
      <c r="C855" s="26">
        <v>42549</v>
      </c>
      <c r="D855" t="s">
        <v>939</v>
      </c>
      <c r="E855" s="26">
        <v>42550</v>
      </c>
      <c r="G855">
        <v>2016</v>
      </c>
      <c r="H855" t="s">
        <v>1528</v>
      </c>
      <c r="I855" t="s">
        <v>75</v>
      </c>
      <c r="J855" t="s">
        <v>75</v>
      </c>
      <c r="K855" t="s">
        <v>953</v>
      </c>
      <c r="L855" t="s">
        <v>942</v>
      </c>
      <c r="M855" t="s">
        <v>943</v>
      </c>
      <c r="N855" t="s">
        <v>944</v>
      </c>
    </row>
    <row r="856" spans="1:17">
      <c r="A856" t="s">
        <v>2661</v>
      </c>
      <c r="B856" s="26">
        <v>42384</v>
      </c>
      <c r="C856" s="26">
        <v>42384</v>
      </c>
      <c r="D856" t="s">
        <v>939</v>
      </c>
      <c r="E856" s="26">
        <v>42384</v>
      </c>
      <c r="G856">
        <v>2016</v>
      </c>
      <c r="H856" t="s">
        <v>2641</v>
      </c>
      <c r="I856" t="s">
        <v>75</v>
      </c>
      <c r="J856" t="s">
        <v>75</v>
      </c>
      <c r="K856" t="s">
        <v>953</v>
      </c>
      <c r="L856" t="s">
        <v>942</v>
      </c>
      <c r="M856" t="s">
        <v>968</v>
      </c>
    </row>
    <row r="857" spans="1:17">
      <c r="A857" t="s">
        <v>2662</v>
      </c>
      <c r="B857" s="26">
        <v>42384</v>
      </c>
      <c r="C857" s="26">
        <v>42384</v>
      </c>
      <c r="D857" t="s">
        <v>939</v>
      </c>
      <c r="E857" s="26">
        <v>42384</v>
      </c>
      <c r="G857">
        <v>2016</v>
      </c>
      <c r="H857" t="s">
        <v>1526</v>
      </c>
      <c r="I857" t="s">
        <v>75</v>
      </c>
      <c r="J857" t="s">
        <v>75</v>
      </c>
      <c r="K857" t="s">
        <v>953</v>
      </c>
      <c r="L857" t="s">
        <v>942</v>
      </c>
      <c r="M857" t="s">
        <v>968</v>
      </c>
    </row>
    <row r="858" spans="1:17">
      <c r="A858" t="s">
        <v>2663</v>
      </c>
      <c r="B858" s="26">
        <v>42550</v>
      </c>
      <c r="C858" s="26">
        <v>42550</v>
      </c>
      <c r="D858" t="s">
        <v>939</v>
      </c>
      <c r="E858" s="26">
        <v>42550</v>
      </c>
      <c r="G858">
        <v>2016</v>
      </c>
      <c r="H858" t="s">
        <v>1169</v>
      </c>
      <c r="I858" t="s">
        <v>75</v>
      </c>
      <c r="J858" t="s">
        <v>75</v>
      </c>
      <c r="K858" t="s">
        <v>953</v>
      </c>
      <c r="L858" t="s">
        <v>942</v>
      </c>
      <c r="M858" t="s">
        <v>943</v>
      </c>
      <c r="N858" t="s">
        <v>944</v>
      </c>
    </row>
    <row r="859" spans="1:17">
      <c r="A859" t="s">
        <v>2664</v>
      </c>
      <c r="B859" s="26">
        <v>43853</v>
      </c>
      <c r="C859" s="26">
        <v>43853</v>
      </c>
      <c r="D859" t="s">
        <v>939</v>
      </c>
      <c r="E859" s="26">
        <v>43857</v>
      </c>
      <c r="G859">
        <v>2020</v>
      </c>
      <c r="H859" t="s">
        <v>1004</v>
      </c>
      <c r="I859" t="s">
        <v>75</v>
      </c>
      <c r="J859" t="s">
        <v>75</v>
      </c>
      <c r="K859">
        <v>9376</v>
      </c>
      <c r="L859" t="s">
        <v>967</v>
      </c>
      <c r="M859" t="s">
        <v>1005</v>
      </c>
      <c r="N859" t="s">
        <v>963</v>
      </c>
      <c r="O859">
        <v>9376</v>
      </c>
    </row>
    <row r="860" spans="1:17">
      <c r="A860" t="s">
        <v>2665</v>
      </c>
      <c r="B860" s="26">
        <v>42345</v>
      </c>
      <c r="C860" s="26">
        <v>42345</v>
      </c>
      <c r="D860" t="s">
        <v>939</v>
      </c>
      <c r="E860" s="26">
        <v>42346</v>
      </c>
      <c r="G860">
        <v>2015</v>
      </c>
      <c r="H860" t="s">
        <v>2666</v>
      </c>
      <c r="I860" t="s">
        <v>75</v>
      </c>
      <c r="J860" t="s">
        <v>75</v>
      </c>
      <c r="K860" t="s">
        <v>994</v>
      </c>
      <c r="L860" t="s">
        <v>942</v>
      </c>
      <c r="M860" t="s">
        <v>943</v>
      </c>
      <c r="N860" t="s">
        <v>944</v>
      </c>
      <c r="O860" t="s">
        <v>994</v>
      </c>
    </row>
    <row r="861" spans="1:17">
      <c r="A861" t="s">
        <v>2667</v>
      </c>
      <c r="B861" s="26">
        <v>42550</v>
      </c>
      <c r="C861" s="26">
        <v>42550</v>
      </c>
      <c r="D861" t="s">
        <v>939</v>
      </c>
      <c r="E861" s="26">
        <v>42550</v>
      </c>
      <c r="G861">
        <v>2016</v>
      </c>
      <c r="H861" t="s">
        <v>1591</v>
      </c>
      <c r="I861" t="s">
        <v>75</v>
      </c>
      <c r="J861" t="s">
        <v>75</v>
      </c>
      <c r="K861" t="s">
        <v>953</v>
      </c>
      <c r="L861" t="s">
        <v>942</v>
      </c>
      <c r="M861" t="s">
        <v>943</v>
      </c>
      <c r="N861" t="s">
        <v>944</v>
      </c>
    </row>
    <row r="862" spans="1:17">
      <c r="A862" t="s">
        <v>2668</v>
      </c>
      <c r="B862" s="26">
        <v>43215</v>
      </c>
      <c r="C862" s="26">
        <v>43215</v>
      </c>
      <c r="D862" t="s">
        <v>939</v>
      </c>
      <c r="E862" s="26"/>
      <c r="G862">
        <v>2018</v>
      </c>
      <c r="H862" t="s">
        <v>2669</v>
      </c>
      <c r="I862" t="s">
        <v>75</v>
      </c>
      <c r="J862" t="s">
        <v>75</v>
      </c>
      <c r="K862">
        <v>265137</v>
      </c>
      <c r="L862" t="s">
        <v>1188</v>
      </c>
      <c r="M862" t="s">
        <v>968</v>
      </c>
      <c r="P862">
        <v>265137</v>
      </c>
      <c r="Q862" t="s">
        <v>2670</v>
      </c>
    </row>
    <row r="863" spans="1:17">
      <c r="A863" t="s">
        <v>2671</v>
      </c>
      <c r="B863" s="26">
        <v>44357</v>
      </c>
      <c r="C863" s="26">
        <v>44357</v>
      </c>
      <c r="D863" t="s">
        <v>939</v>
      </c>
      <c r="E863" s="26"/>
      <c r="G863">
        <v>2021</v>
      </c>
      <c r="H863" t="s">
        <v>2672</v>
      </c>
      <c r="I863" t="s">
        <v>75</v>
      </c>
      <c r="J863" t="s">
        <v>75</v>
      </c>
      <c r="K863" t="s">
        <v>2673</v>
      </c>
      <c r="L863" t="s">
        <v>1204</v>
      </c>
      <c r="M863" t="s">
        <v>943</v>
      </c>
      <c r="N863" t="s">
        <v>944</v>
      </c>
      <c r="P863" t="s">
        <v>2673</v>
      </c>
      <c r="Q863" t="s">
        <v>2673</v>
      </c>
    </row>
    <row r="864" spans="1:17">
      <c r="A864" t="s">
        <v>2674</v>
      </c>
      <c r="B864" s="26">
        <v>44398</v>
      </c>
      <c r="C864" s="26">
        <v>44398</v>
      </c>
      <c r="D864" t="s">
        <v>939</v>
      </c>
      <c r="E864" s="26"/>
      <c r="G864">
        <v>2021</v>
      </c>
      <c r="H864" t="s">
        <v>2675</v>
      </c>
      <c r="I864" t="s">
        <v>75</v>
      </c>
      <c r="J864" t="s">
        <v>75</v>
      </c>
      <c r="K864" t="s">
        <v>2676</v>
      </c>
      <c r="L864" t="s">
        <v>1204</v>
      </c>
      <c r="M864" t="s">
        <v>968</v>
      </c>
      <c r="P864" t="s">
        <v>2676</v>
      </c>
      <c r="Q864" t="s">
        <v>2676</v>
      </c>
    </row>
    <row r="865" spans="1:17">
      <c r="A865" t="s">
        <v>2677</v>
      </c>
      <c r="B865" s="26">
        <v>44637</v>
      </c>
      <c r="C865" s="26">
        <v>44637</v>
      </c>
      <c r="D865" t="s">
        <v>939</v>
      </c>
      <c r="E865" s="26"/>
      <c r="G865">
        <v>2022</v>
      </c>
      <c r="H865" t="s">
        <v>2678</v>
      </c>
      <c r="I865" t="s">
        <v>75</v>
      </c>
      <c r="J865" t="s">
        <v>75</v>
      </c>
      <c r="K865" t="s">
        <v>2679</v>
      </c>
      <c r="L865" t="s">
        <v>1204</v>
      </c>
      <c r="M865" t="s">
        <v>968</v>
      </c>
      <c r="P865" t="s">
        <v>2679</v>
      </c>
      <c r="Q865" t="s">
        <v>2679</v>
      </c>
    </row>
    <row r="866" spans="1:17">
      <c r="A866" t="s">
        <v>2680</v>
      </c>
      <c r="B866" s="26">
        <v>41944</v>
      </c>
      <c r="C866" s="26">
        <v>41979</v>
      </c>
      <c r="D866" t="s">
        <v>939</v>
      </c>
      <c r="E866" s="26"/>
      <c r="G866">
        <v>2014</v>
      </c>
      <c r="H866" t="s">
        <v>2681</v>
      </c>
      <c r="I866" t="s">
        <v>47</v>
      </c>
      <c r="J866" t="s">
        <v>47</v>
      </c>
      <c r="K866" t="s">
        <v>2682</v>
      </c>
      <c r="L866" t="s">
        <v>2683</v>
      </c>
      <c r="M866" t="s">
        <v>2684</v>
      </c>
      <c r="N866" t="s">
        <v>963</v>
      </c>
      <c r="O866" t="s">
        <v>2682</v>
      </c>
      <c r="P866">
        <v>2998400</v>
      </c>
      <c r="Q866" t="s">
        <v>2685</v>
      </c>
    </row>
    <row r="867" spans="1:17">
      <c r="A867" t="s">
        <v>2680</v>
      </c>
      <c r="B867" s="26">
        <v>41944</v>
      </c>
      <c r="C867" s="26">
        <v>41979</v>
      </c>
      <c r="D867" t="s">
        <v>939</v>
      </c>
      <c r="E867" s="26"/>
      <c r="G867">
        <v>2014</v>
      </c>
      <c r="H867" t="s">
        <v>2681</v>
      </c>
      <c r="I867" t="s">
        <v>47</v>
      </c>
      <c r="J867" t="s">
        <v>47</v>
      </c>
      <c r="K867" t="s">
        <v>2682</v>
      </c>
      <c r="L867" t="s">
        <v>2683</v>
      </c>
      <c r="M867" t="s">
        <v>2684</v>
      </c>
      <c r="N867" t="s">
        <v>963</v>
      </c>
      <c r="O867" t="s">
        <v>2682</v>
      </c>
      <c r="P867">
        <v>2998400</v>
      </c>
      <c r="Q867" t="s">
        <v>2685</v>
      </c>
    </row>
    <row r="868" spans="1:17">
      <c r="A868" t="s">
        <v>2680</v>
      </c>
      <c r="B868" s="26">
        <v>41944</v>
      </c>
      <c r="C868" s="26">
        <v>41979</v>
      </c>
      <c r="D868" t="s">
        <v>939</v>
      </c>
      <c r="E868" s="26"/>
      <c r="G868">
        <v>2014</v>
      </c>
      <c r="H868" t="s">
        <v>2681</v>
      </c>
      <c r="I868" t="s">
        <v>47</v>
      </c>
      <c r="J868" t="s">
        <v>47</v>
      </c>
      <c r="K868">
        <v>34000000</v>
      </c>
      <c r="L868" t="s">
        <v>1221</v>
      </c>
      <c r="M868" t="s">
        <v>2684</v>
      </c>
      <c r="N868" t="s">
        <v>963</v>
      </c>
      <c r="O868">
        <v>34000000</v>
      </c>
      <c r="P868">
        <v>2998400</v>
      </c>
      <c r="Q868" t="s">
        <v>2685</v>
      </c>
    </row>
    <row r="869" spans="1:17">
      <c r="A869" t="s">
        <v>2686</v>
      </c>
      <c r="B869" s="26">
        <v>42410</v>
      </c>
      <c r="C869" s="26">
        <v>42410</v>
      </c>
      <c r="D869" t="s">
        <v>1206</v>
      </c>
      <c r="E869" s="26"/>
      <c r="G869">
        <v>2015</v>
      </c>
      <c r="H869" t="s">
        <v>2687</v>
      </c>
      <c r="I869" t="s">
        <v>47</v>
      </c>
      <c r="J869" t="s">
        <v>44</v>
      </c>
      <c r="K869">
        <v>2800000</v>
      </c>
      <c r="L869" t="s">
        <v>2688</v>
      </c>
      <c r="M869" t="s">
        <v>1209</v>
      </c>
      <c r="N869" t="s">
        <v>1210</v>
      </c>
      <c r="P869">
        <v>2800000</v>
      </c>
    </row>
    <row r="870" spans="1:17">
      <c r="A870" t="s">
        <v>2689</v>
      </c>
      <c r="B870" s="26">
        <v>42053</v>
      </c>
      <c r="C870" s="26">
        <v>42053</v>
      </c>
      <c r="D870" t="s">
        <v>939</v>
      </c>
      <c r="E870" s="26"/>
      <c r="G870">
        <v>2014</v>
      </c>
      <c r="H870" t="s">
        <v>1287</v>
      </c>
      <c r="I870" t="s">
        <v>39</v>
      </c>
      <c r="J870" t="s">
        <v>39</v>
      </c>
      <c r="K870">
        <v>738569</v>
      </c>
      <c r="L870" t="s">
        <v>1251</v>
      </c>
      <c r="M870" t="s">
        <v>1234</v>
      </c>
      <c r="N870" t="s">
        <v>963</v>
      </c>
      <c r="O870">
        <v>738569</v>
      </c>
      <c r="P870">
        <v>738569</v>
      </c>
    </row>
    <row r="871" spans="1:17">
      <c r="A871" t="s">
        <v>2690</v>
      </c>
      <c r="B871" s="26">
        <v>41718</v>
      </c>
      <c r="C871" s="26">
        <v>41718</v>
      </c>
      <c r="D871" t="s">
        <v>1206</v>
      </c>
      <c r="E871" s="26"/>
      <c r="G871">
        <v>2014</v>
      </c>
      <c r="H871" t="s">
        <v>1236</v>
      </c>
      <c r="I871" t="s">
        <v>39</v>
      </c>
      <c r="J871" t="s">
        <v>39</v>
      </c>
      <c r="K871">
        <v>42017</v>
      </c>
      <c r="L871" t="s">
        <v>1246</v>
      </c>
      <c r="M871" t="s">
        <v>1234</v>
      </c>
      <c r="N871" t="s">
        <v>963</v>
      </c>
      <c r="P871">
        <v>42017</v>
      </c>
      <c r="Q871">
        <v>42017</v>
      </c>
    </row>
    <row r="872" spans="1:17">
      <c r="A872" t="s">
        <v>2691</v>
      </c>
      <c r="B872" s="26">
        <v>41804</v>
      </c>
      <c r="C872" s="26">
        <v>41804</v>
      </c>
      <c r="D872" t="s">
        <v>1206</v>
      </c>
      <c r="E872" s="26"/>
      <c r="G872">
        <v>2014</v>
      </c>
      <c r="H872" t="s">
        <v>1236</v>
      </c>
      <c r="I872" t="s">
        <v>39</v>
      </c>
      <c r="J872" t="s">
        <v>39</v>
      </c>
      <c r="K872">
        <v>168067</v>
      </c>
      <c r="L872" t="s">
        <v>1675</v>
      </c>
      <c r="M872" t="s">
        <v>1234</v>
      </c>
      <c r="N872" t="s">
        <v>963</v>
      </c>
      <c r="P872">
        <v>168067</v>
      </c>
      <c r="Q872">
        <v>168067</v>
      </c>
    </row>
    <row r="873" spans="1:17">
      <c r="A873" t="s">
        <v>2692</v>
      </c>
      <c r="B873" s="26">
        <v>41019</v>
      </c>
      <c r="C873" s="26">
        <v>41019</v>
      </c>
      <c r="D873" t="s">
        <v>1206</v>
      </c>
      <c r="E873" s="26"/>
      <c r="G873">
        <v>2012</v>
      </c>
      <c r="H873" t="s">
        <v>1269</v>
      </c>
      <c r="I873" t="s">
        <v>39</v>
      </c>
      <c r="J873" t="s">
        <v>39</v>
      </c>
      <c r="K873">
        <v>1008403</v>
      </c>
      <c r="L873" t="s">
        <v>2387</v>
      </c>
      <c r="M873" t="s">
        <v>1244</v>
      </c>
      <c r="N873" t="s">
        <v>963</v>
      </c>
      <c r="P873">
        <v>1008403</v>
      </c>
      <c r="Q873">
        <v>1008403</v>
      </c>
    </row>
    <row r="874" spans="1:17">
      <c r="A874" t="s">
        <v>2693</v>
      </c>
      <c r="B874" s="26">
        <v>41424</v>
      </c>
      <c r="C874" s="26">
        <v>41424</v>
      </c>
      <c r="D874" t="s">
        <v>1206</v>
      </c>
      <c r="E874" s="26"/>
      <c r="G874">
        <v>2013</v>
      </c>
      <c r="H874" t="s">
        <v>1232</v>
      </c>
      <c r="I874" t="s">
        <v>39</v>
      </c>
      <c r="J874" t="s">
        <v>39</v>
      </c>
      <c r="K874">
        <v>294118</v>
      </c>
      <c r="L874" t="s">
        <v>2694</v>
      </c>
      <c r="M874" t="s">
        <v>1234</v>
      </c>
      <c r="N874" t="s">
        <v>963</v>
      </c>
      <c r="P874">
        <v>294118</v>
      </c>
      <c r="Q874">
        <v>294118</v>
      </c>
    </row>
    <row r="875" spans="1:17">
      <c r="A875" t="s">
        <v>2695</v>
      </c>
      <c r="B875" s="26">
        <v>41100</v>
      </c>
      <c r="C875" s="26">
        <v>41100</v>
      </c>
      <c r="D875" t="s">
        <v>1206</v>
      </c>
      <c r="E875" s="26"/>
      <c r="G875">
        <v>2012</v>
      </c>
      <c r="H875" t="s">
        <v>1281</v>
      </c>
      <c r="I875" t="s">
        <v>39</v>
      </c>
      <c r="J875" t="s">
        <v>39</v>
      </c>
      <c r="K875">
        <v>420168</v>
      </c>
      <c r="L875" t="s">
        <v>2696</v>
      </c>
      <c r="M875" t="s">
        <v>1244</v>
      </c>
      <c r="N875" t="s">
        <v>963</v>
      </c>
      <c r="P875">
        <v>420168</v>
      </c>
      <c r="Q875">
        <v>420168</v>
      </c>
    </row>
    <row r="876" spans="1:17">
      <c r="A876" t="s">
        <v>2695</v>
      </c>
      <c r="B876" s="26">
        <v>41100</v>
      </c>
      <c r="C876" s="26">
        <v>41100</v>
      </c>
      <c r="D876" t="s">
        <v>1206</v>
      </c>
      <c r="E876" s="26"/>
      <c r="G876">
        <v>2012</v>
      </c>
      <c r="H876" t="s">
        <v>1281</v>
      </c>
      <c r="I876" t="s">
        <v>39</v>
      </c>
      <c r="J876" t="s">
        <v>39</v>
      </c>
      <c r="K876">
        <v>420168</v>
      </c>
      <c r="L876" t="s">
        <v>2696</v>
      </c>
      <c r="M876" t="s">
        <v>1244</v>
      </c>
      <c r="N876" t="s">
        <v>963</v>
      </c>
      <c r="P876">
        <v>420168</v>
      </c>
      <c r="Q876">
        <v>420168</v>
      </c>
    </row>
    <row r="877" spans="1:17">
      <c r="A877" t="s">
        <v>2697</v>
      </c>
      <c r="B877" s="26">
        <v>41627</v>
      </c>
      <c r="C877" s="26">
        <v>41627</v>
      </c>
      <c r="D877" t="s">
        <v>1206</v>
      </c>
      <c r="E877" s="26"/>
      <c r="G877">
        <v>2013</v>
      </c>
      <c r="H877" t="s">
        <v>1232</v>
      </c>
      <c r="I877" t="s">
        <v>39</v>
      </c>
      <c r="J877" t="s">
        <v>39</v>
      </c>
      <c r="K877">
        <v>210084</v>
      </c>
      <c r="L877" t="s">
        <v>2091</v>
      </c>
      <c r="M877" t="s">
        <v>1234</v>
      </c>
      <c r="N877" t="s">
        <v>963</v>
      </c>
      <c r="P877">
        <v>210084</v>
      </c>
      <c r="Q877">
        <v>210084</v>
      </c>
    </row>
    <row r="878" spans="1:17">
      <c r="A878" t="s">
        <v>2697</v>
      </c>
      <c r="B878" s="26">
        <v>41627</v>
      </c>
      <c r="C878" s="26">
        <v>41627</v>
      </c>
      <c r="D878" t="s">
        <v>1206</v>
      </c>
      <c r="E878" s="26"/>
      <c r="G878">
        <v>2013</v>
      </c>
      <c r="H878" t="s">
        <v>1232</v>
      </c>
      <c r="I878" t="s">
        <v>39</v>
      </c>
      <c r="J878" t="s">
        <v>39</v>
      </c>
      <c r="K878">
        <v>210084</v>
      </c>
      <c r="L878" t="s">
        <v>2091</v>
      </c>
      <c r="M878" t="s">
        <v>1234</v>
      </c>
      <c r="N878" t="s">
        <v>963</v>
      </c>
      <c r="P878">
        <v>210084</v>
      </c>
      <c r="Q878">
        <v>210084</v>
      </c>
    </row>
    <row r="879" spans="1:17">
      <c r="A879" t="s">
        <v>2698</v>
      </c>
      <c r="B879" s="26">
        <v>41100</v>
      </c>
      <c r="C879" s="26">
        <v>41100</v>
      </c>
      <c r="D879" t="s">
        <v>1206</v>
      </c>
      <c r="E879" s="26"/>
      <c r="G879">
        <v>2012</v>
      </c>
      <c r="H879" t="s">
        <v>1281</v>
      </c>
      <c r="I879" t="s">
        <v>39</v>
      </c>
      <c r="J879" t="s">
        <v>39</v>
      </c>
      <c r="K879">
        <v>2773109</v>
      </c>
      <c r="L879" t="s">
        <v>2699</v>
      </c>
      <c r="M879" t="s">
        <v>1244</v>
      </c>
      <c r="N879" t="s">
        <v>963</v>
      </c>
      <c r="P879">
        <v>2773109</v>
      </c>
      <c r="Q879">
        <v>2773109</v>
      </c>
    </row>
    <row r="880" spans="1:17">
      <c r="A880" t="s">
        <v>2700</v>
      </c>
      <c r="B880" s="26">
        <v>41121</v>
      </c>
      <c r="C880" s="26">
        <v>41121</v>
      </c>
      <c r="D880" t="s">
        <v>1206</v>
      </c>
      <c r="E880" s="26"/>
      <c r="G880">
        <v>2012</v>
      </c>
      <c r="H880" t="s">
        <v>1242</v>
      </c>
      <c r="I880" t="s">
        <v>39</v>
      </c>
      <c r="J880" t="s">
        <v>39</v>
      </c>
      <c r="K880">
        <v>84034</v>
      </c>
      <c r="L880" t="s">
        <v>1669</v>
      </c>
      <c r="M880" t="s">
        <v>1244</v>
      </c>
      <c r="N880" t="s">
        <v>963</v>
      </c>
      <c r="P880">
        <v>84034</v>
      </c>
      <c r="Q880">
        <v>84034</v>
      </c>
    </row>
    <row r="881" spans="1:17">
      <c r="A881" t="s">
        <v>2701</v>
      </c>
      <c r="B881" s="26">
        <v>41480</v>
      </c>
      <c r="C881" s="26">
        <v>41480</v>
      </c>
      <c r="D881" t="s">
        <v>1206</v>
      </c>
      <c r="E881" s="26"/>
      <c r="G881">
        <v>2013</v>
      </c>
      <c r="H881" t="s">
        <v>1232</v>
      </c>
      <c r="I881" t="s">
        <v>39</v>
      </c>
      <c r="J881" t="s">
        <v>39</v>
      </c>
      <c r="K881">
        <v>126050</v>
      </c>
      <c r="L881" t="s">
        <v>2088</v>
      </c>
      <c r="M881" t="s">
        <v>1234</v>
      </c>
      <c r="N881" t="s">
        <v>963</v>
      </c>
      <c r="P881">
        <v>126050</v>
      </c>
      <c r="Q881">
        <v>126050</v>
      </c>
    </row>
    <row r="882" spans="1:17">
      <c r="A882" t="s">
        <v>2702</v>
      </c>
      <c r="B882" s="26">
        <v>41718</v>
      </c>
      <c r="C882" s="26">
        <v>41718</v>
      </c>
      <c r="D882" t="s">
        <v>1206</v>
      </c>
      <c r="E882" s="26"/>
      <c r="G882">
        <v>2014</v>
      </c>
      <c r="H882" t="s">
        <v>1236</v>
      </c>
      <c r="I882" t="s">
        <v>39</v>
      </c>
      <c r="J882" t="s">
        <v>39</v>
      </c>
      <c r="K882">
        <v>126050</v>
      </c>
      <c r="L882" t="s">
        <v>1701</v>
      </c>
      <c r="M882" t="s">
        <v>1234</v>
      </c>
      <c r="N882" t="s">
        <v>963</v>
      </c>
      <c r="P882">
        <v>126050</v>
      </c>
      <c r="Q882">
        <v>126050</v>
      </c>
    </row>
    <row r="883" spans="1:17">
      <c r="A883" t="s">
        <v>2703</v>
      </c>
      <c r="B883" s="26">
        <v>41480</v>
      </c>
      <c r="C883" s="26">
        <v>41480</v>
      </c>
      <c r="D883" t="s">
        <v>1206</v>
      </c>
      <c r="E883" s="26"/>
      <c r="G883">
        <v>2013</v>
      </c>
      <c r="H883" t="s">
        <v>1232</v>
      </c>
      <c r="I883" t="s">
        <v>39</v>
      </c>
      <c r="J883" t="s">
        <v>39</v>
      </c>
      <c r="K883">
        <v>840336</v>
      </c>
      <c r="L883" t="s">
        <v>2109</v>
      </c>
      <c r="M883" t="s">
        <v>1234</v>
      </c>
      <c r="N883" t="s">
        <v>963</v>
      </c>
      <c r="P883">
        <v>840336</v>
      </c>
      <c r="Q883">
        <v>840336</v>
      </c>
    </row>
    <row r="884" spans="1:17">
      <c r="A884" t="s">
        <v>2704</v>
      </c>
      <c r="B884" s="26">
        <v>41731</v>
      </c>
      <c r="C884" s="26">
        <v>41731</v>
      </c>
      <c r="D884" t="s">
        <v>1206</v>
      </c>
      <c r="E884" s="26"/>
      <c r="G884">
        <v>2014</v>
      </c>
      <c r="H884" t="s">
        <v>1236</v>
      </c>
      <c r="I884" t="s">
        <v>39</v>
      </c>
      <c r="J884" t="s">
        <v>39</v>
      </c>
      <c r="K884">
        <v>8403361</v>
      </c>
      <c r="L884" t="s">
        <v>2109</v>
      </c>
      <c r="M884" t="s">
        <v>1234</v>
      </c>
      <c r="N884" t="s">
        <v>963</v>
      </c>
      <c r="P884">
        <v>8403361</v>
      </c>
      <c r="Q884">
        <v>8403361</v>
      </c>
    </row>
    <row r="885" spans="1:17">
      <c r="A885" t="s">
        <v>2704</v>
      </c>
      <c r="B885" s="26">
        <v>41731</v>
      </c>
      <c r="C885" s="26">
        <v>41731</v>
      </c>
      <c r="D885" t="s">
        <v>1206</v>
      </c>
      <c r="E885" s="26"/>
      <c r="G885">
        <v>2014</v>
      </c>
      <c r="H885" t="s">
        <v>1236</v>
      </c>
      <c r="I885" t="s">
        <v>39</v>
      </c>
      <c r="J885" t="s">
        <v>39</v>
      </c>
      <c r="K885">
        <v>8403361</v>
      </c>
      <c r="L885" t="s">
        <v>2109</v>
      </c>
      <c r="M885" t="s">
        <v>1234</v>
      </c>
      <c r="N885" t="s">
        <v>963</v>
      </c>
      <c r="P885">
        <v>8403361</v>
      </c>
      <c r="Q885">
        <v>8403361</v>
      </c>
    </row>
    <row r="886" spans="1:17">
      <c r="A886" t="s">
        <v>2705</v>
      </c>
      <c r="B886" s="26">
        <v>41480</v>
      </c>
      <c r="C886" s="26">
        <v>41480</v>
      </c>
      <c r="D886" t="s">
        <v>1206</v>
      </c>
      <c r="E886" s="26"/>
      <c r="G886">
        <v>2013</v>
      </c>
      <c r="H886" t="s">
        <v>1232</v>
      </c>
      <c r="I886" t="s">
        <v>39</v>
      </c>
      <c r="J886" t="s">
        <v>39</v>
      </c>
      <c r="K886">
        <v>252101</v>
      </c>
      <c r="L886" t="s">
        <v>1284</v>
      </c>
      <c r="M886" t="s">
        <v>1234</v>
      </c>
      <c r="N886" t="s">
        <v>963</v>
      </c>
      <c r="P886">
        <v>252101</v>
      </c>
      <c r="Q886">
        <v>252101</v>
      </c>
    </row>
    <row r="887" spans="1:17">
      <c r="A887" t="s">
        <v>2706</v>
      </c>
      <c r="B887" s="26">
        <v>41074</v>
      </c>
      <c r="C887" s="26">
        <v>41074</v>
      </c>
      <c r="D887" t="s">
        <v>1206</v>
      </c>
      <c r="E887" s="26"/>
      <c r="G887">
        <v>2012</v>
      </c>
      <c r="H887" t="s">
        <v>1242</v>
      </c>
      <c r="I887" t="s">
        <v>39</v>
      </c>
      <c r="J887" t="s">
        <v>39</v>
      </c>
      <c r="K887">
        <v>252101</v>
      </c>
      <c r="L887" t="s">
        <v>1264</v>
      </c>
      <c r="M887" t="s">
        <v>1244</v>
      </c>
      <c r="N887" t="s">
        <v>963</v>
      </c>
      <c r="P887">
        <v>252101</v>
      </c>
      <c r="Q887">
        <v>252101</v>
      </c>
    </row>
    <row r="888" spans="1:17">
      <c r="A888" t="s">
        <v>2707</v>
      </c>
      <c r="B888" s="26">
        <v>41718</v>
      </c>
      <c r="C888" s="26">
        <v>41718</v>
      </c>
      <c r="D888" t="s">
        <v>1206</v>
      </c>
      <c r="E888" s="26"/>
      <c r="G888">
        <v>2014</v>
      </c>
      <c r="H888" t="s">
        <v>1236</v>
      </c>
      <c r="I888" t="s">
        <v>39</v>
      </c>
      <c r="J888" t="s">
        <v>39</v>
      </c>
      <c r="K888">
        <v>420168</v>
      </c>
      <c r="L888" t="s">
        <v>1278</v>
      </c>
      <c r="M888" t="s">
        <v>1234</v>
      </c>
      <c r="N888" t="s">
        <v>963</v>
      </c>
      <c r="P888">
        <v>420168</v>
      </c>
      <c r="Q888">
        <v>420168</v>
      </c>
    </row>
    <row r="889" spans="1:17">
      <c r="A889" t="s">
        <v>2708</v>
      </c>
      <c r="B889" s="26">
        <v>41718</v>
      </c>
      <c r="C889" s="26">
        <v>41718</v>
      </c>
      <c r="D889" t="s">
        <v>1206</v>
      </c>
      <c r="E889" s="26"/>
      <c r="G889">
        <v>2014</v>
      </c>
      <c r="H889" t="s">
        <v>1236</v>
      </c>
      <c r="I889" t="s">
        <v>39</v>
      </c>
      <c r="J889" t="s">
        <v>39</v>
      </c>
      <c r="K889">
        <v>25210</v>
      </c>
      <c r="L889" t="s">
        <v>1284</v>
      </c>
      <c r="M889" t="s">
        <v>1234</v>
      </c>
      <c r="N889" t="s">
        <v>963</v>
      </c>
      <c r="P889">
        <v>25210</v>
      </c>
      <c r="Q889">
        <v>25210</v>
      </c>
    </row>
    <row r="890" spans="1:17">
      <c r="A890" t="s">
        <v>2709</v>
      </c>
      <c r="B890" s="26">
        <v>41718</v>
      </c>
      <c r="C890" s="26">
        <v>41718</v>
      </c>
      <c r="D890" t="s">
        <v>1206</v>
      </c>
      <c r="E890" s="26"/>
      <c r="G890">
        <v>2014</v>
      </c>
      <c r="H890" t="s">
        <v>1236</v>
      </c>
      <c r="I890" t="s">
        <v>39</v>
      </c>
      <c r="J890" t="s">
        <v>39</v>
      </c>
      <c r="K890">
        <v>294118</v>
      </c>
      <c r="L890" t="s">
        <v>2694</v>
      </c>
      <c r="M890" t="s">
        <v>1234</v>
      </c>
      <c r="N890" t="s">
        <v>963</v>
      </c>
      <c r="P890">
        <v>294118</v>
      </c>
      <c r="Q890">
        <v>294118</v>
      </c>
    </row>
    <row r="891" spans="1:17">
      <c r="A891" t="s">
        <v>2710</v>
      </c>
      <c r="B891" s="26">
        <v>41121</v>
      </c>
      <c r="C891" s="26">
        <v>41121</v>
      </c>
      <c r="D891" t="s">
        <v>1206</v>
      </c>
      <c r="E891" s="26"/>
      <c r="G891">
        <v>2012</v>
      </c>
      <c r="H891" t="s">
        <v>1242</v>
      </c>
      <c r="I891" t="s">
        <v>39</v>
      </c>
      <c r="J891" t="s">
        <v>39</v>
      </c>
      <c r="K891">
        <v>25210</v>
      </c>
      <c r="L891" t="s">
        <v>2094</v>
      </c>
      <c r="M891" t="s">
        <v>1244</v>
      </c>
      <c r="N891" t="s">
        <v>963</v>
      </c>
      <c r="P891">
        <v>25210</v>
      </c>
      <c r="Q891">
        <v>25210</v>
      </c>
    </row>
    <row r="892" spans="1:17">
      <c r="A892" t="s">
        <v>2711</v>
      </c>
      <c r="B892" s="26">
        <v>41718</v>
      </c>
      <c r="C892" s="26">
        <v>41718</v>
      </c>
      <c r="D892" t="s">
        <v>1206</v>
      </c>
      <c r="E892" s="26"/>
      <c r="G892">
        <v>2014</v>
      </c>
      <c r="H892" t="s">
        <v>1236</v>
      </c>
      <c r="I892" t="s">
        <v>39</v>
      </c>
      <c r="J892" t="s">
        <v>39</v>
      </c>
      <c r="K892">
        <v>168067</v>
      </c>
      <c r="L892" t="s">
        <v>1673</v>
      </c>
      <c r="M892" t="s">
        <v>1234</v>
      </c>
      <c r="N892" t="s">
        <v>963</v>
      </c>
      <c r="P892">
        <v>168067</v>
      </c>
      <c r="Q892">
        <v>168067</v>
      </c>
    </row>
    <row r="893" spans="1:17">
      <c r="A893" t="s">
        <v>2712</v>
      </c>
      <c r="B893" s="26">
        <v>44293</v>
      </c>
      <c r="C893" s="26">
        <v>44293</v>
      </c>
      <c r="D893" t="s">
        <v>939</v>
      </c>
      <c r="E893" s="26"/>
      <c r="G893">
        <v>2021</v>
      </c>
      <c r="H893" t="s">
        <v>1657</v>
      </c>
      <c r="I893" t="s">
        <v>1294</v>
      </c>
      <c r="J893" t="s">
        <v>1294</v>
      </c>
      <c r="K893" t="s">
        <v>953</v>
      </c>
      <c r="L893" t="s">
        <v>2713</v>
      </c>
      <c r="M893" t="s">
        <v>1659</v>
      </c>
      <c r="N893" t="s">
        <v>1310</v>
      </c>
    </row>
    <row r="894" spans="1:17">
      <c r="A894" t="s">
        <v>2714</v>
      </c>
      <c r="B894" s="26">
        <v>41639</v>
      </c>
      <c r="C894" s="26">
        <v>41639</v>
      </c>
      <c r="D894" t="s">
        <v>1206</v>
      </c>
      <c r="E894" s="26"/>
      <c r="G894">
        <v>2013</v>
      </c>
      <c r="H894" t="s">
        <v>2715</v>
      </c>
      <c r="I894" t="s">
        <v>80</v>
      </c>
      <c r="J894" t="s">
        <v>61</v>
      </c>
      <c r="K894">
        <v>5000000</v>
      </c>
      <c r="L894" t="s">
        <v>1712</v>
      </c>
      <c r="M894" t="s">
        <v>1709</v>
      </c>
      <c r="N894" t="s">
        <v>1210</v>
      </c>
      <c r="P894">
        <v>5000000</v>
      </c>
      <c r="Q894">
        <v>5000000</v>
      </c>
    </row>
    <row r="895" spans="1:17">
      <c r="A895" t="s">
        <v>2716</v>
      </c>
      <c r="B895" s="26">
        <v>43789</v>
      </c>
      <c r="C895" s="26">
        <v>43789</v>
      </c>
      <c r="D895" t="s">
        <v>1206</v>
      </c>
      <c r="E895" s="26"/>
      <c r="G895">
        <v>2019</v>
      </c>
      <c r="H895" t="s">
        <v>2717</v>
      </c>
      <c r="I895" t="s">
        <v>80</v>
      </c>
      <c r="J895" t="s">
        <v>44</v>
      </c>
      <c r="K895">
        <v>6400000</v>
      </c>
      <c r="L895" t="s">
        <v>2718</v>
      </c>
      <c r="M895" t="s">
        <v>1709</v>
      </c>
      <c r="N895" t="s">
        <v>1210</v>
      </c>
      <c r="P895">
        <v>6400000</v>
      </c>
      <c r="Q895">
        <v>6400000</v>
      </c>
    </row>
    <row r="896" spans="1:17">
      <c r="A896" t="s">
        <v>2719</v>
      </c>
      <c r="B896" s="26"/>
      <c r="C896" s="26"/>
      <c r="D896" t="s">
        <v>939</v>
      </c>
      <c r="E896" s="26"/>
      <c r="G896">
        <v>2020</v>
      </c>
      <c r="H896" t="s">
        <v>2720</v>
      </c>
      <c r="I896" t="s">
        <v>44</v>
      </c>
      <c r="K896" t="s">
        <v>2721</v>
      </c>
      <c r="L896" t="s">
        <v>2722</v>
      </c>
      <c r="M896" t="s">
        <v>2723</v>
      </c>
      <c r="N896" t="s">
        <v>963</v>
      </c>
      <c r="O896" t="s">
        <v>2721</v>
      </c>
      <c r="P896">
        <v>14985</v>
      </c>
      <c r="Q896">
        <v>14985</v>
      </c>
    </row>
    <row r="897" spans="1:17">
      <c r="A897" t="s">
        <v>2724</v>
      </c>
      <c r="B897" s="26">
        <v>44195</v>
      </c>
      <c r="C897" s="26">
        <v>44615</v>
      </c>
      <c r="D897" t="s">
        <v>939</v>
      </c>
      <c r="E897" s="26"/>
      <c r="G897">
        <v>2020</v>
      </c>
      <c r="H897" t="s">
        <v>2725</v>
      </c>
      <c r="I897" t="s">
        <v>44</v>
      </c>
      <c r="K897">
        <v>38400</v>
      </c>
      <c r="L897" t="s">
        <v>2726</v>
      </c>
      <c r="M897" t="s">
        <v>2727</v>
      </c>
      <c r="N897" t="s">
        <v>1310</v>
      </c>
      <c r="O897">
        <v>38400</v>
      </c>
      <c r="P897">
        <v>42066</v>
      </c>
      <c r="Q897">
        <v>42066</v>
      </c>
    </row>
    <row r="898" spans="1:17">
      <c r="A898" t="s">
        <v>2728</v>
      </c>
      <c r="B898" s="26"/>
      <c r="C898" s="26"/>
      <c r="D898" t="s">
        <v>939</v>
      </c>
      <c r="E898" s="26"/>
      <c r="G898">
        <v>2021</v>
      </c>
      <c r="H898" t="s">
        <v>1330</v>
      </c>
      <c r="I898" t="s">
        <v>44</v>
      </c>
      <c r="K898">
        <v>43550</v>
      </c>
      <c r="L898" t="s">
        <v>2118</v>
      </c>
      <c r="M898" t="s">
        <v>1320</v>
      </c>
      <c r="N898" t="s">
        <v>963</v>
      </c>
      <c r="O898">
        <v>43550</v>
      </c>
      <c r="P898">
        <v>75966</v>
      </c>
      <c r="Q898">
        <v>75966</v>
      </c>
    </row>
    <row r="899" spans="1:17">
      <c r="A899" t="s">
        <v>2728</v>
      </c>
      <c r="B899" s="26"/>
      <c r="C899" s="26"/>
      <c r="D899" t="s">
        <v>939</v>
      </c>
      <c r="E899" s="26"/>
      <c r="G899">
        <v>2021</v>
      </c>
      <c r="H899" t="s">
        <v>1330</v>
      </c>
      <c r="I899" t="s">
        <v>44</v>
      </c>
      <c r="K899">
        <v>43550</v>
      </c>
      <c r="L899" t="s">
        <v>2118</v>
      </c>
      <c r="M899" t="s">
        <v>1320</v>
      </c>
      <c r="N899" t="s">
        <v>963</v>
      </c>
      <c r="O899">
        <v>43550</v>
      </c>
      <c r="P899">
        <v>75966</v>
      </c>
      <c r="Q899">
        <v>75966</v>
      </c>
    </row>
    <row r="900" spans="1:17">
      <c r="A900" t="s">
        <v>2729</v>
      </c>
      <c r="B900" s="26"/>
      <c r="C900" s="26"/>
      <c r="D900" t="s">
        <v>939</v>
      </c>
      <c r="E900" s="26"/>
      <c r="G900">
        <v>2019</v>
      </c>
      <c r="H900" t="s">
        <v>2730</v>
      </c>
      <c r="I900" t="s">
        <v>44</v>
      </c>
      <c r="K900" t="s">
        <v>2731</v>
      </c>
      <c r="L900" t="s">
        <v>2732</v>
      </c>
      <c r="M900" t="s">
        <v>2733</v>
      </c>
      <c r="N900" t="s">
        <v>1310</v>
      </c>
      <c r="O900" t="s">
        <v>2731</v>
      </c>
      <c r="P900" t="s">
        <v>2731</v>
      </c>
      <c r="Q900" t="s">
        <v>2734</v>
      </c>
    </row>
    <row r="901" spans="1:17">
      <c r="A901" t="s">
        <v>2735</v>
      </c>
      <c r="B901" s="26">
        <v>43118</v>
      </c>
      <c r="C901" s="26">
        <v>43118</v>
      </c>
      <c r="D901" t="s">
        <v>939</v>
      </c>
      <c r="E901" s="26"/>
      <c r="G901">
        <v>2017</v>
      </c>
      <c r="H901" t="s">
        <v>2736</v>
      </c>
      <c r="I901" t="s">
        <v>35</v>
      </c>
      <c r="J901" t="s">
        <v>35</v>
      </c>
      <c r="K901">
        <v>26328790</v>
      </c>
      <c r="L901" t="s">
        <v>1362</v>
      </c>
      <c r="M901" t="s">
        <v>1363</v>
      </c>
      <c r="N901" t="s">
        <v>963</v>
      </c>
      <c r="O901">
        <v>26328790</v>
      </c>
    </row>
    <row r="902" spans="1:17">
      <c r="A902" t="s">
        <v>2737</v>
      </c>
      <c r="B902" s="26">
        <v>42497</v>
      </c>
      <c r="C902" s="26">
        <v>42497</v>
      </c>
      <c r="D902" t="s">
        <v>939</v>
      </c>
      <c r="E902" s="26"/>
      <c r="G902">
        <v>2016</v>
      </c>
      <c r="H902" t="s">
        <v>2738</v>
      </c>
      <c r="I902" t="s">
        <v>35</v>
      </c>
      <c r="J902" t="s">
        <v>35</v>
      </c>
      <c r="K902">
        <v>1500000</v>
      </c>
      <c r="L902" t="s">
        <v>2739</v>
      </c>
      <c r="M902" t="s">
        <v>1356</v>
      </c>
      <c r="N902" t="s">
        <v>963</v>
      </c>
      <c r="P902">
        <v>1500000</v>
      </c>
    </row>
    <row r="903" spans="1:17">
      <c r="A903" t="s">
        <v>2737</v>
      </c>
      <c r="B903" s="26">
        <v>42497</v>
      </c>
      <c r="C903" s="26">
        <v>42497</v>
      </c>
      <c r="D903" t="s">
        <v>939</v>
      </c>
      <c r="E903" s="26"/>
      <c r="G903">
        <v>2016</v>
      </c>
      <c r="H903" t="s">
        <v>2738</v>
      </c>
      <c r="I903" t="s">
        <v>35</v>
      </c>
      <c r="J903" t="s">
        <v>35</v>
      </c>
      <c r="K903">
        <v>1500000</v>
      </c>
      <c r="L903" t="s">
        <v>2740</v>
      </c>
      <c r="M903" t="s">
        <v>1356</v>
      </c>
      <c r="N903" t="s">
        <v>963</v>
      </c>
      <c r="P903">
        <v>1500000</v>
      </c>
    </row>
    <row r="904" spans="1:17">
      <c r="A904" t="s">
        <v>2737</v>
      </c>
      <c r="B904" s="26">
        <v>42497</v>
      </c>
      <c r="C904" s="26">
        <v>42497</v>
      </c>
      <c r="D904" t="s">
        <v>939</v>
      </c>
      <c r="E904" s="26"/>
      <c r="G904">
        <v>2016</v>
      </c>
      <c r="H904" t="s">
        <v>2738</v>
      </c>
      <c r="I904" t="s">
        <v>35</v>
      </c>
      <c r="J904" t="s">
        <v>35</v>
      </c>
      <c r="K904">
        <v>1500000</v>
      </c>
      <c r="L904" t="s">
        <v>2741</v>
      </c>
      <c r="M904" t="s">
        <v>1356</v>
      </c>
      <c r="N904" t="s">
        <v>963</v>
      </c>
      <c r="P904">
        <v>1500000</v>
      </c>
    </row>
    <row r="905" spans="1:17">
      <c r="A905" t="s">
        <v>2737</v>
      </c>
      <c r="B905" s="26">
        <v>42497</v>
      </c>
      <c r="C905" s="26">
        <v>42497</v>
      </c>
      <c r="D905" t="s">
        <v>939</v>
      </c>
      <c r="E905" s="26"/>
      <c r="G905">
        <v>2016</v>
      </c>
      <c r="H905" t="s">
        <v>2738</v>
      </c>
      <c r="I905" t="s">
        <v>35</v>
      </c>
      <c r="J905" t="s">
        <v>35</v>
      </c>
      <c r="K905">
        <v>1500000</v>
      </c>
      <c r="L905" t="s">
        <v>2742</v>
      </c>
      <c r="M905" t="s">
        <v>1356</v>
      </c>
      <c r="N905" t="s">
        <v>963</v>
      </c>
      <c r="P905">
        <v>1500000</v>
      </c>
    </row>
    <row r="906" spans="1:17">
      <c r="A906" t="s">
        <v>2743</v>
      </c>
      <c r="B906" s="26">
        <v>43196</v>
      </c>
      <c r="C906" s="26">
        <v>43196</v>
      </c>
      <c r="D906" t="s">
        <v>939</v>
      </c>
      <c r="E906" s="26"/>
      <c r="G906">
        <v>2017</v>
      </c>
      <c r="H906" t="s">
        <v>2744</v>
      </c>
      <c r="I906" t="s">
        <v>331</v>
      </c>
      <c r="J906" t="s">
        <v>156</v>
      </c>
      <c r="K906">
        <v>293763</v>
      </c>
      <c r="L906" t="s">
        <v>2456</v>
      </c>
      <c r="M906" t="s">
        <v>1378</v>
      </c>
      <c r="N906" t="s">
        <v>963</v>
      </c>
      <c r="O906">
        <v>293763</v>
      </c>
      <c r="P906">
        <v>1055341</v>
      </c>
    </row>
    <row r="907" spans="1:17">
      <c r="A907" t="s">
        <v>2743</v>
      </c>
      <c r="B907" s="26">
        <v>43196</v>
      </c>
      <c r="C907" s="26">
        <v>43196</v>
      </c>
      <c r="D907" t="s">
        <v>939</v>
      </c>
      <c r="E907" s="26"/>
      <c r="G907">
        <v>2017</v>
      </c>
      <c r="H907" t="s">
        <v>2744</v>
      </c>
      <c r="I907" t="s">
        <v>331</v>
      </c>
      <c r="J907" t="s">
        <v>156</v>
      </c>
      <c r="K907">
        <v>548342</v>
      </c>
      <c r="L907" t="s">
        <v>1382</v>
      </c>
      <c r="M907" t="s">
        <v>1378</v>
      </c>
      <c r="N907" t="s">
        <v>963</v>
      </c>
      <c r="O907">
        <v>548342</v>
      </c>
      <c r="P907">
        <v>1055341</v>
      </c>
    </row>
    <row r="908" spans="1:17">
      <c r="A908" t="s">
        <v>2743</v>
      </c>
      <c r="B908" s="26">
        <v>43196</v>
      </c>
      <c r="C908" s="26">
        <v>43196</v>
      </c>
      <c r="D908" t="s">
        <v>939</v>
      </c>
      <c r="E908" s="26"/>
      <c r="G908">
        <v>2017</v>
      </c>
      <c r="H908" t="s">
        <v>2744</v>
      </c>
      <c r="I908" t="s">
        <v>331</v>
      </c>
      <c r="J908" t="s">
        <v>156</v>
      </c>
      <c r="K908">
        <v>24309</v>
      </c>
      <c r="L908" t="s">
        <v>2155</v>
      </c>
      <c r="M908" t="s">
        <v>1378</v>
      </c>
      <c r="N908" t="s">
        <v>963</v>
      </c>
      <c r="O908">
        <v>24309</v>
      </c>
      <c r="P908">
        <v>1055341</v>
      </c>
    </row>
    <row r="909" spans="1:17">
      <c r="A909" t="s">
        <v>2743</v>
      </c>
      <c r="B909" s="26">
        <v>43196</v>
      </c>
      <c r="C909" s="26">
        <v>43196</v>
      </c>
      <c r="D909" t="s">
        <v>939</v>
      </c>
      <c r="E909" s="26"/>
      <c r="G909">
        <v>2017</v>
      </c>
      <c r="H909" t="s">
        <v>2744</v>
      </c>
      <c r="I909" t="s">
        <v>331</v>
      </c>
      <c r="J909" t="s">
        <v>156</v>
      </c>
      <c r="K909">
        <v>188927</v>
      </c>
      <c r="L909" t="s">
        <v>1383</v>
      </c>
      <c r="M909" t="s">
        <v>1378</v>
      </c>
      <c r="N909" t="s">
        <v>963</v>
      </c>
      <c r="O909">
        <v>188927</v>
      </c>
      <c r="P909">
        <v>1055341</v>
      </c>
    </row>
    <row r="910" spans="1:17">
      <c r="A910" t="s">
        <v>2743</v>
      </c>
      <c r="B910" s="26">
        <v>43196</v>
      </c>
      <c r="C910" s="26">
        <v>43196</v>
      </c>
      <c r="D910" t="s">
        <v>939</v>
      </c>
      <c r="E910" s="26"/>
      <c r="G910">
        <v>2017</v>
      </c>
      <c r="H910" t="s">
        <v>2744</v>
      </c>
      <c r="I910" t="s">
        <v>331</v>
      </c>
      <c r="J910" t="s">
        <v>156</v>
      </c>
      <c r="K910">
        <v>293763</v>
      </c>
      <c r="L910" t="s">
        <v>2456</v>
      </c>
      <c r="M910" t="s">
        <v>1378</v>
      </c>
      <c r="N910" t="s">
        <v>963</v>
      </c>
      <c r="O910">
        <v>293763</v>
      </c>
      <c r="P910">
        <v>1055341</v>
      </c>
    </row>
    <row r="911" spans="1:17">
      <c r="A911" t="s">
        <v>2743</v>
      </c>
      <c r="B911" s="26">
        <v>43196</v>
      </c>
      <c r="C911" s="26">
        <v>43196</v>
      </c>
      <c r="D911" t="s">
        <v>939</v>
      </c>
      <c r="E911" s="26"/>
      <c r="G911">
        <v>2017</v>
      </c>
      <c r="H911" t="s">
        <v>2744</v>
      </c>
      <c r="I911" t="s">
        <v>331</v>
      </c>
      <c r="J911" t="s">
        <v>156</v>
      </c>
      <c r="K911">
        <v>548342</v>
      </c>
      <c r="L911" t="s">
        <v>1382</v>
      </c>
      <c r="M911" t="s">
        <v>1378</v>
      </c>
      <c r="N911" t="s">
        <v>963</v>
      </c>
      <c r="O911">
        <v>548342</v>
      </c>
      <c r="P911">
        <v>1055341</v>
      </c>
    </row>
    <row r="912" spans="1:17">
      <c r="A912" t="s">
        <v>2743</v>
      </c>
      <c r="B912" s="26">
        <v>43196</v>
      </c>
      <c r="C912" s="26">
        <v>43196</v>
      </c>
      <c r="D912" t="s">
        <v>939</v>
      </c>
      <c r="E912" s="26"/>
      <c r="G912">
        <v>2017</v>
      </c>
      <c r="H912" t="s">
        <v>2744</v>
      </c>
      <c r="I912" t="s">
        <v>331</v>
      </c>
      <c r="J912" t="s">
        <v>156</v>
      </c>
      <c r="K912">
        <v>24309</v>
      </c>
      <c r="L912" t="s">
        <v>2155</v>
      </c>
      <c r="M912" t="s">
        <v>1378</v>
      </c>
      <c r="N912" t="s">
        <v>963</v>
      </c>
      <c r="O912">
        <v>24309</v>
      </c>
      <c r="P912">
        <v>1055341</v>
      </c>
    </row>
    <row r="913" spans="1:16">
      <c r="A913" t="s">
        <v>2743</v>
      </c>
      <c r="B913" s="26">
        <v>43196</v>
      </c>
      <c r="C913" s="26">
        <v>43196</v>
      </c>
      <c r="D913" t="s">
        <v>939</v>
      </c>
      <c r="E913" s="26"/>
      <c r="G913">
        <v>2017</v>
      </c>
      <c r="H913" t="s">
        <v>2744</v>
      </c>
      <c r="I913" t="s">
        <v>331</v>
      </c>
      <c r="J913" t="s">
        <v>156</v>
      </c>
      <c r="K913">
        <v>188927</v>
      </c>
      <c r="L913" t="s">
        <v>1383</v>
      </c>
      <c r="M913" t="s">
        <v>1378</v>
      </c>
      <c r="N913" t="s">
        <v>963</v>
      </c>
      <c r="O913">
        <v>188927</v>
      </c>
      <c r="P913">
        <v>1055341</v>
      </c>
    </row>
    <row r="914" spans="1:16">
      <c r="A914" t="s">
        <v>2745</v>
      </c>
      <c r="B914" s="26">
        <v>43427</v>
      </c>
      <c r="C914" s="26">
        <v>43427</v>
      </c>
      <c r="D914" t="s">
        <v>939</v>
      </c>
      <c r="E914" s="26"/>
      <c r="G914">
        <v>2018</v>
      </c>
      <c r="H914" t="s">
        <v>2746</v>
      </c>
      <c r="I914" t="s">
        <v>331</v>
      </c>
      <c r="J914" t="s">
        <v>156</v>
      </c>
      <c r="K914">
        <v>1414289</v>
      </c>
      <c r="L914" t="s">
        <v>2747</v>
      </c>
      <c r="M914" t="s">
        <v>1378</v>
      </c>
      <c r="N914" t="s">
        <v>963</v>
      </c>
      <c r="O914">
        <v>1414289</v>
      </c>
      <c r="P914">
        <v>1414289</v>
      </c>
    </row>
    <row r="915" spans="1:16">
      <c r="A915" t="s">
        <v>2745</v>
      </c>
      <c r="B915" s="26">
        <v>43427</v>
      </c>
      <c r="C915" s="26">
        <v>43427</v>
      </c>
      <c r="D915" t="s">
        <v>939</v>
      </c>
      <c r="E915" s="26"/>
      <c r="G915">
        <v>2018</v>
      </c>
      <c r="H915" t="s">
        <v>2746</v>
      </c>
      <c r="I915" t="s">
        <v>331</v>
      </c>
      <c r="J915" t="s">
        <v>156</v>
      </c>
      <c r="K915">
        <v>1414289</v>
      </c>
      <c r="L915" t="s">
        <v>2747</v>
      </c>
      <c r="M915" t="s">
        <v>1378</v>
      </c>
      <c r="N915" t="s">
        <v>963</v>
      </c>
      <c r="O915">
        <v>1414289</v>
      </c>
      <c r="P915">
        <v>1414289</v>
      </c>
    </row>
    <row r="916" spans="1:16">
      <c r="A916" t="s">
        <v>2748</v>
      </c>
      <c r="B916" s="26">
        <v>43048</v>
      </c>
      <c r="C916" s="26">
        <v>43048</v>
      </c>
      <c r="D916" t="s">
        <v>939</v>
      </c>
      <c r="E916" s="26"/>
      <c r="G916">
        <v>2017</v>
      </c>
      <c r="H916" t="s">
        <v>2749</v>
      </c>
      <c r="I916" t="s">
        <v>331</v>
      </c>
      <c r="J916" t="s">
        <v>157</v>
      </c>
      <c r="K916">
        <v>8268</v>
      </c>
      <c r="L916" t="s">
        <v>2457</v>
      </c>
      <c r="M916" t="s">
        <v>1378</v>
      </c>
      <c r="N916" t="s">
        <v>963</v>
      </c>
      <c r="O916">
        <v>8268</v>
      </c>
      <c r="P916">
        <v>393323</v>
      </c>
    </row>
    <row r="917" spans="1:16">
      <c r="A917" t="s">
        <v>2748</v>
      </c>
      <c r="B917" s="26">
        <v>43048</v>
      </c>
      <c r="C917" s="26">
        <v>43048</v>
      </c>
      <c r="D917" t="s">
        <v>939</v>
      </c>
      <c r="E917" s="26"/>
      <c r="G917">
        <v>2017</v>
      </c>
      <c r="H917" t="s">
        <v>2749</v>
      </c>
      <c r="I917" t="s">
        <v>331</v>
      </c>
      <c r="J917" t="s">
        <v>156</v>
      </c>
      <c r="K917">
        <v>39411</v>
      </c>
      <c r="L917" t="s">
        <v>2750</v>
      </c>
      <c r="M917" t="s">
        <v>1378</v>
      </c>
      <c r="N917" t="s">
        <v>963</v>
      </c>
      <c r="O917">
        <v>39411</v>
      </c>
      <c r="P917">
        <v>393323</v>
      </c>
    </row>
    <row r="918" spans="1:16">
      <c r="A918" t="s">
        <v>2748</v>
      </c>
      <c r="B918" s="26">
        <v>43048</v>
      </c>
      <c r="C918" s="26">
        <v>43048</v>
      </c>
      <c r="D918" t="s">
        <v>939</v>
      </c>
      <c r="E918" s="26"/>
      <c r="G918">
        <v>2017</v>
      </c>
      <c r="H918" t="s">
        <v>2749</v>
      </c>
      <c r="I918" t="s">
        <v>331</v>
      </c>
      <c r="J918" t="s">
        <v>156</v>
      </c>
      <c r="K918">
        <v>118</v>
      </c>
      <c r="L918" t="s">
        <v>1765</v>
      </c>
      <c r="M918" t="s">
        <v>1378</v>
      </c>
      <c r="N918" t="s">
        <v>963</v>
      </c>
      <c r="O918">
        <v>118</v>
      </c>
      <c r="P918">
        <v>393323</v>
      </c>
    </row>
    <row r="919" spans="1:16">
      <c r="A919" t="s">
        <v>2748</v>
      </c>
      <c r="B919" s="26">
        <v>43048</v>
      </c>
      <c r="C919" s="26">
        <v>43048</v>
      </c>
      <c r="D919" t="s">
        <v>939</v>
      </c>
      <c r="E919" s="26"/>
      <c r="G919">
        <v>2017</v>
      </c>
      <c r="H919" t="s">
        <v>2749</v>
      </c>
      <c r="I919" t="s">
        <v>331</v>
      </c>
      <c r="J919" t="s">
        <v>156</v>
      </c>
      <c r="K919">
        <v>15262</v>
      </c>
      <c r="L919" t="s">
        <v>1393</v>
      </c>
      <c r="M919" t="s">
        <v>1378</v>
      </c>
      <c r="N919" t="s">
        <v>963</v>
      </c>
      <c r="O919">
        <v>15262</v>
      </c>
      <c r="P919">
        <v>393323</v>
      </c>
    </row>
    <row r="920" spans="1:16">
      <c r="A920" t="s">
        <v>2748</v>
      </c>
      <c r="B920" s="26">
        <v>43048</v>
      </c>
      <c r="C920" s="26">
        <v>43048</v>
      </c>
      <c r="D920" t="s">
        <v>939</v>
      </c>
      <c r="E920" s="26"/>
      <c r="G920">
        <v>2017</v>
      </c>
      <c r="H920" t="s">
        <v>2749</v>
      </c>
      <c r="I920" t="s">
        <v>331</v>
      </c>
      <c r="J920" t="s">
        <v>156</v>
      </c>
      <c r="K920">
        <v>305793</v>
      </c>
      <c r="L920" t="s">
        <v>2440</v>
      </c>
      <c r="M920" t="s">
        <v>1378</v>
      </c>
      <c r="N920" t="s">
        <v>963</v>
      </c>
      <c r="O920">
        <v>305793</v>
      </c>
      <c r="P920">
        <v>393323</v>
      </c>
    </row>
    <row r="921" spans="1:16">
      <c r="A921" t="s">
        <v>2748</v>
      </c>
      <c r="B921" s="26">
        <v>43048</v>
      </c>
      <c r="C921" s="26">
        <v>43048</v>
      </c>
      <c r="D921" t="s">
        <v>939</v>
      </c>
      <c r="E921" s="26"/>
      <c r="G921">
        <v>2017</v>
      </c>
      <c r="H921" t="s">
        <v>2749</v>
      </c>
      <c r="I921" t="s">
        <v>331</v>
      </c>
      <c r="J921" t="s">
        <v>41</v>
      </c>
      <c r="K921">
        <v>3153</v>
      </c>
      <c r="L921" t="s">
        <v>2751</v>
      </c>
      <c r="M921" t="s">
        <v>1378</v>
      </c>
      <c r="N921" t="s">
        <v>963</v>
      </c>
      <c r="O921">
        <v>3153</v>
      </c>
      <c r="P921">
        <v>393323</v>
      </c>
    </row>
    <row r="922" spans="1:16">
      <c r="A922" t="s">
        <v>2748</v>
      </c>
      <c r="B922" s="26">
        <v>43048</v>
      </c>
      <c r="C922" s="26">
        <v>43048</v>
      </c>
      <c r="D922" t="s">
        <v>939</v>
      </c>
      <c r="E922" s="26"/>
      <c r="G922">
        <v>2017</v>
      </c>
      <c r="H922" t="s">
        <v>2749</v>
      </c>
      <c r="I922" t="s">
        <v>331</v>
      </c>
      <c r="J922" t="s">
        <v>156</v>
      </c>
      <c r="K922">
        <v>407</v>
      </c>
      <c r="L922" t="s">
        <v>1760</v>
      </c>
      <c r="M922" t="s">
        <v>1378</v>
      </c>
      <c r="N922" t="s">
        <v>963</v>
      </c>
      <c r="O922">
        <v>407</v>
      </c>
      <c r="P922">
        <v>393323</v>
      </c>
    </row>
    <row r="923" spans="1:16">
      <c r="A923" t="s">
        <v>2748</v>
      </c>
      <c r="B923" s="26">
        <v>43048</v>
      </c>
      <c r="C923" s="26">
        <v>43048</v>
      </c>
      <c r="D923" t="s">
        <v>939</v>
      </c>
      <c r="E923" s="26"/>
      <c r="G923">
        <v>2017</v>
      </c>
      <c r="H923" t="s">
        <v>2749</v>
      </c>
      <c r="I923" t="s">
        <v>331</v>
      </c>
      <c r="J923" t="s">
        <v>331</v>
      </c>
      <c r="K923">
        <v>5170</v>
      </c>
      <c r="L923" t="s">
        <v>1755</v>
      </c>
      <c r="M923" t="s">
        <v>1378</v>
      </c>
      <c r="N923" t="s">
        <v>963</v>
      </c>
      <c r="O923">
        <v>5170</v>
      </c>
      <c r="P923">
        <v>393323</v>
      </c>
    </row>
    <row r="924" spans="1:16">
      <c r="A924" t="s">
        <v>2748</v>
      </c>
      <c r="B924" s="26">
        <v>43048</v>
      </c>
      <c r="C924" s="26">
        <v>43048</v>
      </c>
      <c r="D924" t="s">
        <v>939</v>
      </c>
      <c r="E924" s="26"/>
      <c r="G924">
        <v>2017</v>
      </c>
      <c r="H924" t="s">
        <v>2749</v>
      </c>
      <c r="I924" t="s">
        <v>331</v>
      </c>
      <c r="J924" t="s">
        <v>157</v>
      </c>
      <c r="K924">
        <v>15607</v>
      </c>
      <c r="L924" t="s">
        <v>2752</v>
      </c>
      <c r="M924" t="s">
        <v>1378</v>
      </c>
      <c r="N924" t="s">
        <v>963</v>
      </c>
      <c r="O924">
        <v>15607</v>
      </c>
      <c r="P924">
        <v>393323</v>
      </c>
    </row>
    <row r="925" spans="1:16">
      <c r="A925" t="s">
        <v>2748</v>
      </c>
      <c r="B925" s="26">
        <v>43048</v>
      </c>
      <c r="C925" s="26">
        <v>43048</v>
      </c>
      <c r="D925" t="s">
        <v>939</v>
      </c>
      <c r="E925" s="26"/>
      <c r="G925">
        <v>2017</v>
      </c>
      <c r="H925" t="s">
        <v>2749</v>
      </c>
      <c r="I925" t="s">
        <v>331</v>
      </c>
      <c r="J925" t="s">
        <v>35</v>
      </c>
      <c r="K925">
        <v>134</v>
      </c>
      <c r="L925" t="s">
        <v>2753</v>
      </c>
      <c r="M925" t="s">
        <v>1378</v>
      </c>
      <c r="N925" t="s">
        <v>963</v>
      </c>
      <c r="O925">
        <v>134</v>
      </c>
      <c r="P925">
        <v>393323</v>
      </c>
    </row>
    <row r="926" spans="1:16">
      <c r="A926" t="s">
        <v>2754</v>
      </c>
      <c r="B926" s="26">
        <v>44487</v>
      </c>
      <c r="C926" s="26">
        <v>44487</v>
      </c>
      <c r="D926" t="s">
        <v>939</v>
      </c>
      <c r="E926" s="26"/>
      <c r="G926">
        <v>2021</v>
      </c>
      <c r="H926" t="s">
        <v>2755</v>
      </c>
      <c r="I926" t="s">
        <v>331</v>
      </c>
      <c r="J926" t="s">
        <v>156</v>
      </c>
      <c r="K926" t="s">
        <v>953</v>
      </c>
      <c r="L926" t="s">
        <v>1383</v>
      </c>
      <c r="M926" t="s">
        <v>1378</v>
      </c>
      <c r="N926" t="s">
        <v>963</v>
      </c>
    </row>
    <row r="927" spans="1:16">
      <c r="A927" t="s">
        <v>2754</v>
      </c>
      <c r="B927" s="26">
        <v>44487</v>
      </c>
      <c r="C927" s="26">
        <v>44487</v>
      </c>
      <c r="D927" t="s">
        <v>939</v>
      </c>
      <c r="E927" s="26"/>
      <c r="G927">
        <v>2021</v>
      </c>
      <c r="H927" t="s">
        <v>2755</v>
      </c>
      <c r="I927" t="s">
        <v>331</v>
      </c>
      <c r="J927" t="s">
        <v>157</v>
      </c>
      <c r="K927" t="s">
        <v>953</v>
      </c>
      <c r="L927" t="s">
        <v>1397</v>
      </c>
      <c r="M927" t="s">
        <v>1378</v>
      </c>
      <c r="N927" t="s">
        <v>963</v>
      </c>
    </row>
    <row r="928" spans="1:16">
      <c r="A928" t="s">
        <v>2754</v>
      </c>
      <c r="B928" s="26">
        <v>44487</v>
      </c>
      <c r="C928" s="26">
        <v>44487</v>
      </c>
      <c r="D928" t="s">
        <v>939</v>
      </c>
      <c r="E928" s="26"/>
      <c r="G928">
        <v>2021</v>
      </c>
      <c r="H928" t="s">
        <v>2755</v>
      </c>
      <c r="I928" t="s">
        <v>331</v>
      </c>
      <c r="J928" t="s">
        <v>157</v>
      </c>
      <c r="K928" t="s">
        <v>953</v>
      </c>
      <c r="L928" t="s">
        <v>2444</v>
      </c>
      <c r="M928" t="s">
        <v>1378</v>
      </c>
      <c r="N928" t="s">
        <v>963</v>
      </c>
    </row>
    <row r="929" spans="1:16">
      <c r="A929" t="s">
        <v>2754</v>
      </c>
      <c r="B929" s="26">
        <v>44487</v>
      </c>
      <c r="C929" s="26">
        <v>44487</v>
      </c>
      <c r="D929" t="s">
        <v>939</v>
      </c>
      <c r="E929" s="26"/>
      <c r="G929">
        <v>2021</v>
      </c>
      <c r="H929" t="s">
        <v>2755</v>
      </c>
      <c r="I929" t="s">
        <v>331</v>
      </c>
      <c r="J929" t="s">
        <v>157</v>
      </c>
      <c r="K929" t="s">
        <v>953</v>
      </c>
      <c r="L929" t="s">
        <v>2451</v>
      </c>
      <c r="M929" t="s">
        <v>1378</v>
      </c>
      <c r="N929" t="s">
        <v>963</v>
      </c>
    </row>
    <row r="930" spans="1:16">
      <c r="A930" t="s">
        <v>2754</v>
      </c>
      <c r="B930" s="26">
        <v>44487</v>
      </c>
      <c r="C930" s="26">
        <v>44487</v>
      </c>
      <c r="D930" t="s">
        <v>939</v>
      </c>
      <c r="E930" s="26"/>
      <c r="G930">
        <v>2021</v>
      </c>
      <c r="H930" t="s">
        <v>2755</v>
      </c>
      <c r="I930" t="s">
        <v>331</v>
      </c>
      <c r="J930" t="s">
        <v>41</v>
      </c>
      <c r="K930" t="s">
        <v>953</v>
      </c>
      <c r="L930" t="s">
        <v>1399</v>
      </c>
      <c r="M930" t="s">
        <v>1378</v>
      </c>
      <c r="N930" t="s">
        <v>963</v>
      </c>
    </row>
    <row r="931" spans="1:16">
      <c r="A931" t="s">
        <v>2754</v>
      </c>
      <c r="B931" s="26">
        <v>44487</v>
      </c>
      <c r="C931" s="26">
        <v>44487</v>
      </c>
      <c r="D931" t="s">
        <v>939</v>
      </c>
      <c r="E931" s="26"/>
      <c r="G931">
        <v>2021</v>
      </c>
      <c r="H931" t="s">
        <v>2755</v>
      </c>
      <c r="I931" t="s">
        <v>331</v>
      </c>
      <c r="J931" t="s">
        <v>156</v>
      </c>
      <c r="K931" t="s">
        <v>953</v>
      </c>
      <c r="L931" t="s">
        <v>1398</v>
      </c>
      <c r="M931" t="s">
        <v>1378</v>
      </c>
      <c r="N931" t="s">
        <v>963</v>
      </c>
    </row>
    <row r="932" spans="1:16">
      <c r="A932" t="s">
        <v>2754</v>
      </c>
      <c r="B932" s="26">
        <v>44487</v>
      </c>
      <c r="C932" s="26">
        <v>44487</v>
      </c>
      <c r="D932" t="s">
        <v>939</v>
      </c>
      <c r="E932" s="26"/>
      <c r="G932">
        <v>2021</v>
      </c>
      <c r="H932" t="s">
        <v>2755</v>
      </c>
      <c r="I932" t="s">
        <v>331</v>
      </c>
      <c r="J932" t="s">
        <v>157</v>
      </c>
      <c r="K932" t="s">
        <v>953</v>
      </c>
      <c r="L932" t="s">
        <v>2756</v>
      </c>
      <c r="M932" t="s">
        <v>1378</v>
      </c>
      <c r="N932" t="s">
        <v>963</v>
      </c>
    </row>
    <row r="933" spans="1:16">
      <c r="A933" t="s">
        <v>2754</v>
      </c>
      <c r="B933" s="26">
        <v>44487</v>
      </c>
      <c r="C933" s="26">
        <v>44487</v>
      </c>
      <c r="D933" t="s">
        <v>939</v>
      </c>
      <c r="E933" s="26"/>
      <c r="G933">
        <v>2021</v>
      </c>
      <c r="H933" t="s">
        <v>2755</v>
      </c>
      <c r="I933" t="s">
        <v>331</v>
      </c>
      <c r="J933" t="s">
        <v>35</v>
      </c>
      <c r="K933" t="s">
        <v>953</v>
      </c>
      <c r="L933" t="s">
        <v>2448</v>
      </c>
      <c r="M933" t="s">
        <v>1378</v>
      </c>
      <c r="N933" t="s">
        <v>963</v>
      </c>
    </row>
    <row r="934" spans="1:16">
      <c r="A934" t="s">
        <v>2754</v>
      </c>
      <c r="B934" s="26">
        <v>44487</v>
      </c>
      <c r="C934" s="26">
        <v>44487</v>
      </c>
      <c r="D934" t="s">
        <v>939</v>
      </c>
      <c r="E934" s="26"/>
      <c r="G934">
        <v>2021</v>
      </c>
      <c r="H934" t="s">
        <v>2755</v>
      </c>
      <c r="I934" t="s">
        <v>331</v>
      </c>
      <c r="J934" t="s">
        <v>157</v>
      </c>
      <c r="K934" t="s">
        <v>953</v>
      </c>
      <c r="L934" t="s">
        <v>1400</v>
      </c>
      <c r="M934" t="s">
        <v>1378</v>
      </c>
      <c r="N934" t="s">
        <v>963</v>
      </c>
    </row>
    <row r="935" spans="1:16">
      <c r="A935" t="s">
        <v>2754</v>
      </c>
      <c r="B935" s="26">
        <v>44487</v>
      </c>
      <c r="C935" s="26">
        <v>44487</v>
      </c>
      <c r="D935" t="s">
        <v>939</v>
      </c>
      <c r="E935" s="26"/>
      <c r="G935">
        <v>2021</v>
      </c>
      <c r="H935" t="s">
        <v>2755</v>
      </c>
      <c r="I935" t="s">
        <v>331</v>
      </c>
      <c r="J935" t="s">
        <v>157</v>
      </c>
      <c r="K935" t="s">
        <v>953</v>
      </c>
      <c r="L935" t="s">
        <v>2452</v>
      </c>
      <c r="M935" t="s">
        <v>1378</v>
      </c>
      <c r="N935" t="s">
        <v>963</v>
      </c>
    </row>
    <row r="936" spans="1:16">
      <c r="A936" t="s">
        <v>2757</v>
      </c>
      <c r="B936" s="26">
        <v>44445</v>
      </c>
      <c r="C936" s="26">
        <v>44466</v>
      </c>
      <c r="D936" t="s">
        <v>939</v>
      </c>
      <c r="E936" s="26"/>
      <c r="G936">
        <v>2021</v>
      </c>
      <c r="H936" t="s">
        <v>2758</v>
      </c>
      <c r="I936" t="s">
        <v>331</v>
      </c>
      <c r="J936" t="s">
        <v>156</v>
      </c>
      <c r="K936" t="s">
        <v>953</v>
      </c>
      <c r="L936" t="s">
        <v>2759</v>
      </c>
      <c r="M936" t="s">
        <v>1378</v>
      </c>
      <c r="N936" t="s">
        <v>963</v>
      </c>
    </row>
    <row r="937" spans="1:16">
      <c r="A937" t="s">
        <v>2760</v>
      </c>
      <c r="B937" s="26">
        <v>43720</v>
      </c>
      <c r="C937" s="26">
        <v>43720</v>
      </c>
      <c r="D937" t="s">
        <v>939</v>
      </c>
      <c r="E937" s="26"/>
      <c r="G937">
        <v>2019</v>
      </c>
      <c r="H937" t="s">
        <v>2761</v>
      </c>
      <c r="I937" t="s">
        <v>331</v>
      </c>
      <c r="J937" t="s">
        <v>156</v>
      </c>
      <c r="K937">
        <v>1362006</v>
      </c>
      <c r="L937" t="s">
        <v>2486</v>
      </c>
      <c r="M937" t="s">
        <v>1378</v>
      </c>
      <c r="N937" t="s">
        <v>963</v>
      </c>
      <c r="O937">
        <v>1362006</v>
      </c>
      <c r="P937">
        <v>1362006</v>
      </c>
    </row>
    <row r="938" spans="1:16">
      <c r="A938" t="s">
        <v>2762</v>
      </c>
      <c r="B938" s="26">
        <v>43748</v>
      </c>
      <c r="C938" s="26">
        <v>43748</v>
      </c>
      <c r="D938" t="s">
        <v>939</v>
      </c>
      <c r="E938" s="26"/>
      <c r="G938">
        <v>2019</v>
      </c>
      <c r="H938" t="s">
        <v>2763</v>
      </c>
      <c r="I938" t="s">
        <v>331</v>
      </c>
      <c r="J938" t="s">
        <v>69</v>
      </c>
      <c r="K938">
        <v>1161744</v>
      </c>
      <c r="L938" t="s">
        <v>2483</v>
      </c>
      <c r="M938" t="s">
        <v>1378</v>
      </c>
      <c r="N938" t="s">
        <v>963</v>
      </c>
      <c r="O938">
        <v>1161744</v>
      </c>
      <c r="P938">
        <v>1161744</v>
      </c>
    </row>
    <row r="939" spans="1:16">
      <c r="A939" t="s">
        <v>2764</v>
      </c>
      <c r="B939" s="26">
        <v>43963</v>
      </c>
      <c r="C939" s="26">
        <v>44141</v>
      </c>
      <c r="D939" t="s">
        <v>939</v>
      </c>
      <c r="E939" s="26"/>
      <c r="G939">
        <v>2020</v>
      </c>
      <c r="H939" t="s">
        <v>2765</v>
      </c>
      <c r="I939" t="s">
        <v>331</v>
      </c>
      <c r="J939" t="s">
        <v>156</v>
      </c>
      <c r="K939">
        <v>2786296</v>
      </c>
      <c r="L939" t="s">
        <v>2766</v>
      </c>
      <c r="M939" t="s">
        <v>1378</v>
      </c>
      <c r="N939" t="s">
        <v>963</v>
      </c>
      <c r="O939">
        <v>2786296</v>
      </c>
    </row>
    <row r="940" spans="1:16">
      <c r="A940" t="s">
        <v>2764</v>
      </c>
      <c r="B940" s="26">
        <v>43963</v>
      </c>
      <c r="C940" s="26">
        <v>44141</v>
      </c>
      <c r="D940" t="s">
        <v>939</v>
      </c>
      <c r="E940" s="26"/>
      <c r="G940">
        <v>2020</v>
      </c>
      <c r="H940" t="s">
        <v>2765</v>
      </c>
      <c r="I940" t="s">
        <v>331</v>
      </c>
      <c r="J940" t="s">
        <v>156</v>
      </c>
      <c r="K940">
        <v>2786296</v>
      </c>
      <c r="L940" t="s">
        <v>2766</v>
      </c>
      <c r="M940" t="s">
        <v>1378</v>
      </c>
      <c r="N940" t="s">
        <v>963</v>
      </c>
      <c r="O940">
        <v>2786296</v>
      </c>
    </row>
    <row r="941" spans="1:16">
      <c r="A941" t="s">
        <v>2767</v>
      </c>
      <c r="B941" s="26">
        <v>42287</v>
      </c>
      <c r="C941" s="26">
        <v>42306</v>
      </c>
      <c r="D941" t="s">
        <v>939</v>
      </c>
      <c r="E941" s="26"/>
      <c r="G941">
        <v>2015</v>
      </c>
      <c r="H941" t="s">
        <v>2768</v>
      </c>
      <c r="I941" t="s">
        <v>331</v>
      </c>
      <c r="J941" t="s">
        <v>331</v>
      </c>
      <c r="K941">
        <v>1945817</v>
      </c>
      <c r="L941" t="s">
        <v>1747</v>
      </c>
      <c r="M941" t="s">
        <v>1751</v>
      </c>
      <c r="N941" t="s">
        <v>963</v>
      </c>
      <c r="O941">
        <v>1945817</v>
      </c>
      <c r="P941">
        <v>1945817</v>
      </c>
    </row>
    <row r="942" spans="1:16">
      <c r="A942" t="s">
        <v>2767</v>
      </c>
      <c r="B942" s="26">
        <v>42287</v>
      </c>
      <c r="C942" s="26">
        <v>42306</v>
      </c>
      <c r="D942" t="s">
        <v>939</v>
      </c>
      <c r="E942" s="26"/>
      <c r="G942">
        <v>2015</v>
      </c>
      <c r="H942" t="s">
        <v>2768</v>
      </c>
      <c r="I942" t="s">
        <v>331</v>
      </c>
      <c r="J942" t="s">
        <v>331</v>
      </c>
      <c r="K942">
        <v>1945817</v>
      </c>
      <c r="L942" t="s">
        <v>1747</v>
      </c>
      <c r="M942" t="s">
        <v>1751</v>
      </c>
      <c r="N942" t="s">
        <v>963</v>
      </c>
      <c r="O942">
        <v>1945817</v>
      </c>
      <c r="P942">
        <v>1945817</v>
      </c>
    </row>
    <row r="943" spans="1:16">
      <c r="A943" t="s">
        <v>2769</v>
      </c>
      <c r="B943" s="26">
        <v>44351</v>
      </c>
      <c r="C943" s="26">
        <v>44351</v>
      </c>
      <c r="D943" t="s">
        <v>939</v>
      </c>
      <c r="E943" s="26"/>
      <c r="G943">
        <v>2021</v>
      </c>
      <c r="H943" t="s">
        <v>2770</v>
      </c>
      <c r="I943" t="s">
        <v>331</v>
      </c>
      <c r="J943" t="s">
        <v>331</v>
      </c>
      <c r="K943" t="s">
        <v>953</v>
      </c>
      <c r="L943" t="s">
        <v>2771</v>
      </c>
      <c r="M943" t="s">
        <v>1378</v>
      </c>
      <c r="N943" t="s">
        <v>963</v>
      </c>
    </row>
    <row r="944" spans="1:16">
      <c r="A944" t="s">
        <v>2772</v>
      </c>
      <c r="B944" s="26">
        <v>44162</v>
      </c>
      <c r="C944" s="26">
        <v>44354</v>
      </c>
      <c r="D944" t="s">
        <v>939</v>
      </c>
      <c r="E944" s="26"/>
      <c r="G944">
        <v>2020</v>
      </c>
      <c r="H944" t="s">
        <v>2773</v>
      </c>
      <c r="I944" t="s">
        <v>331</v>
      </c>
      <c r="J944" t="s">
        <v>156</v>
      </c>
      <c r="K944">
        <v>114394</v>
      </c>
      <c r="L944" t="s">
        <v>2461</v>
      </c>
      <c r="M944" t="s">
        <v>1378</v>
      </c>
      <c r="N944" t="s">
        <v>963</v>
      </c>
      <c r="O944">
        <v>114394</v>
      </c>
      <c r="P944">
        <v>906341</v>
      </c>
    </row>
    <row r="945" spans="1:16">
      <c r="A945" t="s">
        <v>2772</v>
      </c>
      <c r="B945" s="26">
        <v>44162</v>
      </c>
      <c r="C945" s="26">
        <v>44354</v>
      </c>
      <c r="D945" t="s">
        <v>939</v>
      </c>
      <c r="E945" s="26"/>
      <c r="G945">
        <v>2020</v>
      </c>
      <c r="H945" t="s">
        <v>2773</v>
      </c>
      <c r="I945" t="s">
        <v>331</v>
      </c>
      <c r="J945" t="s">
        <v>156</v>
      </c>
      <c r="K945">
        <v>32160</v>
      </c>
      <c r="L945" t="s">
        <v>1390</v>
      </c>
      <c r="M945" t="s">
        <v>1378</v>
      </c>
      <c r="N945" t="s">
        <v>963</v>
      </c>
      <c r="O945">
        <v>32160</v>
      </c>
      <c r="P945">
        <v>906341</v>
      </c>
    </row>
    <row r="946" spans="1:16">
      <c r="A946" t="s">
        <v>2772</v>
      </c>
      <c r="B946" s="26">
        <v>44162</v>
      </c>
      <c r="C946" s="26">
        <v>44354</v>
      </c>
      <c r="D946" t="s">
        <v>939</v>
      </c>
      <c r="E946" s="26"/>
      <c r="G946">
        <v>2020</v>
      </c>
      <c r="H946" t="s">
        <v>2773</v>
      </c>
      <c r="I946" t="s">
        <v>331</v>
      </c>
      <c r="J946" t="s">
        <v>156</v>
      </c>
      <c r="K946">
        <v>6416</v>
      </c>
      <c r="L946" t="s">
        <v>1383</v>
      </c>
      <c r="M946" t="s">
        <v>1378</v>
      </c>
      <c r="N946" t="s">
        <v>963</v>
      </c>
      <c r="O946">
        <v>6416</v>
      </c>
      <c r="P946">
        <v>906341</v>
      </c>
    </row>
    <row r="947" spans="1:16">
      <c r="A947" t="s">
        <v>2772</v>
      </c>
      <c r="B947" s="26">
        <v>44162</v>
      </c>
      <c r="C947" s="26">
        <v>44354</v>
      </c>
      <c r="D947" t="s">
        <v>939</v>
      </c>
      <c r="E947" s="26"/>
      <c r="G947">
        <v>2020</v>
      </c>
      <c r="H947" t="s">
        <v>2773</v>
      </c>
      <c r="I947" t="s">
        <v>331</v>
      </c>
      <c r="J947" t="s">
        <v>156</v>
      </c>
      <c r="K947" t="s">
        <v>2774</v>
      </c>
      <c r="L947" t="s">
        <v>1383</v>
      </c>
      <c r="M947" t="s">
        <v>1378</v>
      </c>
      <c r="N947" t="s">
        <v>963</v>
      </c>
      <c r="O947" t="s">
        <v>2774</v>
      </c>
      <c r="P947">
        <v>906341</v>
      </c>
    </row>
    <row r="948" spans="1:16">
      <c r="A948" t="s">
        <v>2772</v>
      </c>
      <c r="B948" s="26">
        <v>44162</v>
      </c>
      <c r="C948" s="26">
        <v>44354</v>
      </c>
      <c r="D948" t="s">
        <v>939</v>
      </c>
      <c r="E948" s="26"/>
      <c r="G948">
        <v>2020</v>
      </c>
      <c r="H948" t="s">
        <v>2773</v>
      </c>
      <c r="I948" t="s">
        <v>331</v>
      </c>
      <c r="J948" t="s">
        <v>156</v>
      </c>
      <c r="K948">
        <v>104781</v>
      </c>
      <c r="L948" t="s">
        <v>2155</v>
      </c>
      <c r="M948" t="s">
        <v>1378</v>
      </c>
      <c r="N948" t="s">
        <v>963</v>
      </c>
      <c r="O948">
        <v>104781</v>
      </c>
      <c r="P948">
        <v>906341</v>
      </c>
    </row>
    <row r="949" spans="1:16">
      <c r="A949" t="s">
        <v>2772</v>
      </c>
      <c r="B949" s="26">
        <v>44162</v>
      </c>
      <c r="C949" s="26">
        <v>44354</v>
      </c>
      <c r="D949" t="s">
        <v>939</v>
      </c>
      <c r="E949" s="26"/>
      <c r="G949">
        <v>2020</v>
      </c>
      <c r="H949" t="s">
        <v>2773</v>
      </c>
      <c r="I949" t="s">
        <v>331</v>
      </c>
      <c r="J949" t="s">
        <v>156</v>
      </c>
      <c r="K949" t="s">
        <v>2775</v>
      </c>
      <c r="L949" t="s">
        <v>1387</v>
      </c>
      <c r="M949" t="s">
        <v>1378</v>
      </c>
      <c r="N949" t="s">
        <v>963</v>
      </c>
      <c r="O949" t="s">
        <v>2775</v>
      </c>
      <c r="P949">
        <v>906341</v>
      </c>
    </row>
    <row r="950" spans="1:16">
      <c r="A950" t="s">
        <v>2772</v>
      </c>
      <c r="B950" s="26">
        <v>44162</v>
      </c>
      <c r="C950" s="26">
        <v>44354</v>
      </c>
      <c r="D950" t="s">
        <v>939</v>
      </c>
      <c r="E950" s="26"/>
      <c r="G950">
        <v>2020</v>
      </c>
      <c r="H950" t="s">
        <v>2773</v>
      </c>
      <c r="I950" t="s">
        <v>331</v>
      </c>
      <c r="J950" t="s">
        <v>156</v>
      </c>
      <c r="K950" t="s">
        <v>2776</v>
      </c>
      <c r="L950" t="s">
        <v>2777</v>
      </c>
      <c r="M950" t="s">
        <v>1378</v>
      </c>
      <c r="N950" t="s">
        <v>963</v>
      </c>
      <c r="O950" t="s">
        <v>2776</v>
      </c>
      <c r="P950">
        <v>906341</v>
      </c>
    </row>
    <row r="951" spans="1:16">
      <c r="A951" t="s">
        <v>2772</v>
      </c>
      <c r="B951" s="26">
        <v>44162</v>
      </c>
      <c r="C951" s="26">
        <v>44354</v>
      </c>
      <c r="D951" t="s">
        <v>939</v>
      </c>
      <c r="E951" s="26"/>
      <c r="G951">
        <v>2020</v>
      </c>
      <c r="H951" t="s">
        <v>2773</v>
      </c>
      <c r="I951" t="s">
        <v>331</v>
      </c>
      <c r="J951" t="s">
        <v>41</v>
      </c>
      <c r="K951" t="s">
        <v>2778</v>
      </c>
      <c r="L951" t="s">
        <v>1412</v>
      </c>
      <c r="M951" t="s">
        <v>1378</v>
      </c>
      <c r="N951" t="s">
        <v>963</v>
      </c>
      <c r="O951" t="s">
        <v>2778</v>
      </c>
      <c r="P951">
        <v>906341</v>
      </c>
    </row>
    <row r="952" spans="1:16">
      <c r="A952" t="s">
        <v>2772</v>
      </c>
      <c r="B952" s="26">
        <v>44162</v>
      </c>
      <c r="C952" s="26">
        <v>44354</v>
      </c>
      <c r="D952" t="s">
        <v>939</v>
      </c>
      <c r="E952" s="26"/>
      <c r="G952">
        <v>2020</v>
      </c>
      <c r="H952" t="s">
        <v>2773</v>
      </c>
      <c r="I952" t="s">
        <v>331</v>
      </c>
      <c r="J952" t="s">
        <v>156</v>
      </c>
      <c r="K952" t="s">
        <v>2779</v>
      </c>
      <c r="L952" t="s">
        <v>2456</v>
      </c>
      <c r="M952" t="s">
        <v>1378</v>
      </c>
      <c r="N952" t="s">
        <v>963</v>
      </c>
      <c r="O952" t="s">
        <v>2779</v>
      </c>
      <c r="P952">
        <v>906341</v>
      </c>
    </row>
    <row r="953" spans="1:16">
      <c r="A953" t="s">
        <v>2772</v>
      </c>
      <c r="B953" s="26">
        <v>44162</v>
      </c>
      <c r="C953" s="26">
        <v>44354</v>
      </c>
      <c r="D953" t="s">
        <v>939</v>
      </c>
      <c r="E953" s="26"/>
      <c r="G953">
        <v>2020</v>
      </c>
      <c r="H953" t="s">
        <v>2773</v>
      </c>
      <c r="I953" t="s">
        <v>331</v>
      </c>
      <c r="J953" t="s">
        <v>156</v>
      </c>
      <c r="K953">
        <v>641338</v>
      </c>
      <c r="L953" t="s">
        <v>2445</v>
      </c>
      <c r="M953" t="s">
        <v>1378</v>
      </c>
      <c r="N953" t="s">
        <v>963</v>
      </c>
      <c r="O953">
        <v>641338</v>
      </c>
      <c r="P953">
        <v>906341</v>
      </c>
    </row>
    <row r="954" spans="1:16">
      <c r="A954" t="s">
        <v>2772</v>
      </c>
      <c r="B954" s="26">
        <v>44162</v>
      </c>
      <c r="C954" s="26">
        <v>44354</v>
      </c>
      <c r="D954" t="s">
        <v>939</v>
      </c>
      <c r="E954" s="26"/>
      <c r="G954">
        <v>2020</v>
      </c>
      <c r="H954" t="s">
        <v>2773</v>
      </c>
      <c r="I954" t="s">
        <v>331</v>
      </c>
      <c r="J954" t="s">
        <v>41</v>
      </c>
      <c r="K954">
        <v>6815</v>
      </c>
      <c r="L954" t="s">
        <v>2446</v>
      </c>
      <c r="M954" t="s">
        <v>1378</v>
      </c>
      <c r="N954" t="s">
        <v>963</v>
      </c>
      <c r="O954">
        <v>6815</v>
      </c>
      <c r="P954">
        <v>906341</v>
      </c>
    </row>
    <row r="955" spans="1:16">
      <c r="A955" t="s">
        <v>2772</v>
      </c>
      <c r="B955" s="26">
        <v>44162</v>
      </c>
      <c r="C955" s="26">
        <v>44354</v>
      </c>
      <c r="D955" t="s">
        <v>939</v>
      </c>
      <c r="E955" s="26"/>
      <c r="G955">
        <v>2020</v>
      </c>
      <c r="H955" t="s">
        <v>2773</v>
      </c>
      <c r="I955" t="s">
        <v>331</v>
      </c>
      <c r="J955" t="s">
        <v>156</v>
      </c>
      <c r="K955">
        <v>437</v>
      </c>
      <c r="L955" t="s">
        <v>2456</v>
      </c>
      <c r="M955" t="s">
        <v>1378</v>
      </c>
      <c r="N955" t="s">
        <v>963</v>
      </c>
      <c r="O955">
        <v>437</v>
      </c>
      <c r="P955">
        <v>906341</v>
      </c>
    </row>
    <row r="956" spans="1:16">
      <c r="A956" t="s">
        <v>2780</v>
      </c>
      <c r="B956" s="26">
        <v>44389</v>
      </c>
      <c r="C956" s="26">
        <v>44389</v>
      </c>
      <c r="D956" t="s">
        <v>939</v>
      </c>
      <c r="E956" s="26"/>
      <c r="G956">
        <v>2021</v>
      </c>
      <c r="H956" t="s">
        <v>2781</v>
      </c>
      <c r="I956" t="s">
        <v>331</v>
      </c>
      <c r="J956" t="s">
        <v>157</v>
      </c>
      <c r="K956">
        <v>992321</v>
      </c>
      <c r="L956" t="s">
        <v>2451</v>
      </c>
      <c r="M956" t="s">
        <v>1378</v>
      </c>
      <c r="N956" t="s">
        <v>963</v>
      </c>
      <c r="O956">
        <v>992321</v>
      </c>
      <c r="P956">
        <v>2110584</v>
      </c>
    </row>
    <row r="957" spans="1:16">
      <c r="A957" t="s">
        <v>2780</v>
      </c>
      <c r="B957" s="26">
        <v>44389</v>
      </c>
      <c r="C957" s="26">
        <v>44389</v>
      </c>
      <c r="D957" t="s">
        <v>939</v>
      </c>
      <c r="E957" s="26"/>
      <c r="G957">
        <v>2021</v>
      </c>
      <c r="H957" t="s">
        <v>2781</v>
      </c>
      <c r="I957" t="s">
        <v>331</v>
      </c>
      <c r="J957" t="s">
        <v>157</v>
      </c>
      <c r="K957">
        <v>1118263</v>
      </c>
      <c r="L957" t="s">
        <v>2452</v>
      </c>
      <c r="M957" t="s">
        <v>1378</v>
      </c>
      <c r="N957" t="s">
        <v>963</v>
      </c>
      <c r="O957">
        <v>1118263</v>
      </c>
      <c r="P957">
        <v>2110584</v>
      </c>
    </row>
    <row r="958" spans="1:16">
      <c r="A958" t="s">
        <v>2782</v>
      </c>
      <c r="B958" s="26">
        <v>43399</v>
      </c>
      <c r="C958" s="26">
        <v>43399</v>
      </c>
      <c r="D958" t="s">
        <v>939</v>
      </c>
      <c r="E958" s="26"/>
      <c r="G958">
        <v>2018</v>
      </c>
      <c r="H958" t="s">
        <v>2783</v>
      </c>
      <c r="I958" t="s">
        <v>331</v>
      </c>
      <c r="J958" t="s">
        <v>156</v>
      </c>
      <c r="K958">
        <v>1303277</v>
      </c>
      <c r="L958" t="s">
        <v>2486</v>
      </c>
      <c r="M958" t="s">
        <v>1378</v>
      </c>
      <c r="N958" t="s">
        <v>963</v>
      </c>
      <c r="O958">
        <v>1303277</v>
      </c>
      <c r="P958">
        <v>1303277</v>
      </c>
    </row>
    <row r="959" spans="1:16">
      <c r="A959" t="s">
        <v>2784</v>
      </c>
      <c r="B959" s="26">
        <v>43431</v>
      </c>
      <c r="C959" s="26">
        <v>43431</v>
      </c>
      <c r="D959" t="s">
        <v>939</v>
      </c>
      <c r="E959" s="26"/>
      <c r="G959">
        <v>2018</v>
      </c>
      <c r="H959" t="s">
        <v>2785</v>
      </c>
      <c r="I959" t="s">
        <v>331</v>
      </c>
      <c r="J959" t="s">
        <v>156</v>
      </c>
      <c r="K959">
        <v>530264</v>
      </c>
      <c r="L959" t="s">
        <v>2786</v>
      </c>
      <c r="M959" t="s">
        <v>1378</v>
      </c>
      <c r="N959" t="s">
        <v>963</v>
      </c>
      <c r="P959">
        <v>530264</v>
      </c>
    </row>
    <row r="960" spans="1:16">
      <c r="A960" t="s">
        <v>2784</v>
      </c>
      <c r="B960" s="26">
        <v>43431</v>
      </c>
      <c r="C960" s="26">
        <v>43431</v>
      </c>
      <c r="D960" t="s">
        <v>939</v>
      </c>
      <c r="E960" s="26"/>
      <c r="G960">
        <v>2018</v>
      </c>
      <c r="H960" t="s">
        <v>2785</v>
      </c>
      <c r="I960" t="s">
        <v>331</v>
      </c>
      <c r="J960" t="s">
        <v>156</v>
      </c>
      <c r="K960">
        <v>530264</v>
      </c>
      <c r="L960" t="s">
        <v>2787</v>
      </c>
      <c r="M960" t="s">
        <v>1378</v>
      </c>
      <c r="N960" t="s">
        <v>963</v>
      </c>
      <c r="P960">
        <v>530264</v>
      </c>
    </row>
    <row r="961" spans="1:16">
      <c r="A961" t="s">
        <v>2784</v>
      </c>
      <c r="B961" s="26">
        <v>43431</v>
      </c>
      <c r="C961" s="26">
        <v>43431</v>
      </c>
      <c r="D961" t="s">
        <v>939</v>
      </c>
      <c r="E961" s="26"/>
      <c r="G961">
        <v>2018</v>
      </c>
      <c r="H961" t="s">
        <v>2785</v>
      </c>
      <c r="I961" t="s">
        <v>331</v>
      </c>
      <c r="J961" t="s">
        <v>156</v>
      </c>
      <c r="K961">
        <v>530264</v>
      </c>
      <c r="L961" t="s">
        <v>2788</v>
      </c>
      <c r="M961" t="s">
        <v>1378</v>
      </c>
      <c r="N961" t="s">
        <v>963</v>
      </c>
      <c r="P961">
        <v>530264</v>
      </c>
    </row>
    <row r="962" spans="1:16">
      <c r="A962" t="s">
        <v>2784</v>
      </c>
      <c r="B962" s="26">
        <v>43431</v>
      </c>
      <c r="C962" s="26">
        <v>43431</v>
      </c>
      <c r="D962" t="s">
        <v>939</v>
      </c>
      <c r="E962" s="26"/>
      <c r="G962">
        <v>2018</v>
      </c>
      <c r="H962" t="s">
        <v>2785</v>
      </c>
      <c r="I962" t="s">
        <v>331</v>
      </c>
      <c r="J962" t="s">
        <v>156</v>
      </c>
      <c r="K962">
        <v>530264</v>
      </c>
      <c r="L962" t="s">
        <v>2789</v>
      </c>
      <c r="M962" t="s">
        <v>1378</v>
      </c>
      <c r="N962" t="s">
        <v>963</v>
      </c>
      <c r="P962">
        <v>530264</v>
      </c>
    </row>
    <row r="963" spans="1:16">
      <c r="A963" t="s">
        <v>2784</v>
      </c>
      <c r="B963" s="26">
        <v>43431</v>
      </c>
      <c r="C963" s="26">
        <v>43431</v>
      </c>
      <c r="D963" t="s">
        <v>939</v>
      </c>
      <c r="E963" s="26"/>
      <c r="G963">
        <v>2018</v>
      </c>
      <c r="H963" t="s">
        <v>2785</v>
      </c>
      <c r="I963" t="s">
        <v>331</v>
      </c>
      <c r="J963" t="s">
        <v>41</v>
      </c>
      <c r="K963">
        <v>530264</v>
      </c>
      <c r="L963" t="s">
        <v>2790</v>
      </c>
      <c r="M963" t="s">
        <v>1378</v>
      </c>
      <c r="N963" t="s">
        <v>963</v>
      </c>
      <c r="P963">
        <v>530264</v>
      </c>
    </row>
    <row r="964" spans="1:16">
      <c r="A964" t="s">
        <v>2784</v>
      </c>
      <c r="B964" s="26">
        <v>43431</v>
      </c>
      <c r="C964" s="26">
        <v>43431</v>
      </c>
      <c r="D964" t="s">
        <v>939</v>
      </c>
      <c r="E964" s="26"/>
      <c r="G964">
        <v>2018</v>
      </c>
      <c r="H964" t="s">
        <v>2785</v>
      </c>
      <c r="I964" t="s">
        <v>331</v>
      </c>
      <c r="J964" t="s">
        <v>156</v>
      </c>
      <c r="K964">
        <v>530264</v>
      </c>
      <c r="L964" t="s">
        <v>2791</v>
      </c>
      <c r="M964" t="s">
        <v>1378</v>
      </c>
      <c r="N964" t="s">
        <v>963</v>
      </c>
      <c r="P964">
        <v>530264</v>
      </c>
    </row>
    <row r="965" spans="1:16">
      <c r="A965" t="s">
        <v>2784</v>
      </c>
      <c r="B965" s="26">
        <v>43431</v>
      </c>
      <c r="C965" s="26">
        <v>43431</v>
      </c>
      <c r="D965" t="s">
        <v>939</v>
      </c>
      <c r="E965" s="26"/>
      <c r="G965">
        <v>2018</v>
      </c>
      <c r="H965" t="s">
        <v>2785</v>
      </c>
      <c r="I965" t="s">
        <v>331</v>
      </c>
      <c r="J965" t="s">
        <v>156</v>
      </c>
      <c r="K965">
        <v>530264</v>
      </c>
      <c r="L965" t="s">
        <v>2792</v>
      </c>
      <c r="M965" t="s">
        <v>1378</v>
      </c>
      <c r="N965" t="s">
        <v>963</v>
      </c>
      <c r="P965">
        <v>530264</v>
      </c>
    </row>
    <row r="966" spans="1:16">
      <c r="A966" t="s">
        <v>2793</v>
      </c>
      <c r="B966" s="26">
        <v>43616</v>
      </c>
      <c r="C966" s="26">
        <v>43616</v>
      </c>
      <c r="D966" t="s">
        <v>939</v>
      </c>
      <c r="E966" s="26"/>
      <c r="G966">
        <v>2018</v>
      </c>
      <c r="H966" t="s">
        <v>2794</v>
      </c>
      <c r="I966" t="s">
        <v>331</v>
      </c>
      <c r="K966">
        <v>585317</v>
      </c>
      <c r="L966" t="s">
        <v>2795</v>
      </c>
      <c r="M966" t="s">
        <v>1378</v>
      </c>
      <c r="N966" t="s">
        <v>963</v>
      </c>
      <c r="P966">
        <v>585317</v>
      </c>
    </row>
    <row r="967" spans="1:16">
      <c r="A967" t="s">
        <v>2793</v>
      </c>
      <c r="B967" s="26">
        <v>43616</v>
      </c>
      <c r="C967" s="26">
        <v>43616</v>
      </c>
      <c r="D967" t="s">
        <v>939</v>
      </c>
      <c r="E967" s="26"/>
      <c r="G967">
        <v>2018</v>
      </c>
      <c r="H967" t="s">
        <v>2794</v>
      </c>
      <c r="I967" t="s">
        <v>331</v>
      </c>
      <c r="K967">
        <v>585317</v>
      </c>
      <c r="L967" t="s">
        <v>2787</v>
      </c>
      <c r="M967" t="s">
        <v>1378</v>
      </c>
      <c r="N967" t="s">
        <v>963</v>
      </c>
      <c r="P967">
        <v>585317</v>
      </c>
    </row>
    <row r="968" spans="1:16">
      <c r="A968" t="s">
        <v>2793</v>
      </c>
      <c r="B968" s="26">
        <v>43616</v>
      </c>
      <c r="C968" s="26">
        <v>43616</v>
      </c>
      <c r="D968" t="s">
        <v>939</v>
      </c>
      <c r="E968" s="26"/>
      <c r="G968">
        <v>2018</v>
      </c>
      <c r="H968" t="s">
        <v>2794</v>
      </c>
      <c r="I968" t="s">
        <v>331</v>
      </c>
      <c r="K968">
        <v>585317</v>
      </c>
      <c r="L968" t="s">
        <v>2796</v>
      </c>
      <c r="M968" t="s">
        <v>1378</v>
      </c>
      <c r="N968" t="s">
        <v>963</v>
      </c>
      <c r="P968">
        <v>585317</v>
      </c>
    </row>
    <row r="969" spans="1:16">
      <c r="A969" t="s">
        <v>2793</v>
      </c>
      <c r="B969" s="26">
        <v>43616</v>
      </c>
      <c r="C969" s="26">
        <v>43616</v>
      </c>
      <c r="D969" t="s">
        <v>939</v>
      </c>
      <c r="E969" s="26"/>
      <c r="G969">
        <v>2018</v>
      </c>
      <c r="H969" t="s">
        <v>2794</v>
      </c>
      <c r="I969" t="s">
        <v>331</v>
      </c>
      <c r="K969">
        <v>585317</v>
      </c>
      <c r="L969" t="s">
        <v>2791</v>
      </c>
      <c r="M969" t="s">
        <v>1378</v>
      </c>
      <c r="N969" t="s">
        <v>963</v>
      </c>
      <c r="P969">
        <v>585317</v>
      </c>
    </row>
    <row r="970" spans="1:16">
      <c r="A970" t="s">
        <v>2793</v>
      </c>
      <c r="B970" s="26">
        <v>43616</v>
      </c>
      <c r="C970" s="26">
        <v>43616</v>
      </c>
      <c r="D970" t="s">
        <v>939</v>
      </c>
      <c r="E970" s="26"/>
      <c r="G970">
        <v>2018</v>
      </c>
      <c r="H970" t="s">
        <v>2794</v>
      </c>
      <c r="I970" t="s">
        <v>331</v>
      </c>
      <c r="K970">
        <v>585317</v>
      </c>
      <c r="L970" t="s">
        <v>2797</v>
      </c>
      <c r="M970" t="s">
        <v>1378</v>
      </c>
      <c r="N970" t="s">
        <v>963</v>
      </c>
      <c r="P970">
        <v>585317</v>
      </c>
    </row>
    <row r="971" spans="1:16">
      <c r="A971" t="s">
        <v>2798</v>
      </c>
      <c r="B971" s="26">
        <v>43316</v>
      </c>
      <c r="C971" s="26">
        <v>43316</v>
      </c>
      <c r="D971" t="s">
        <v>939</v>
      </c>
      <c r="E971" s="26"/>
      <c r="G971">
        <v>2018</v>
      </c>
      <c r="H971" t="s">
        <v>2799</v>
      </c>
      <c r="I971" t="s">
        <v>331</v>
      </c>
      <c r="J971" t="s">
        <v>156</v>
      </c>
      <c r="K971">
        <v>129230</v>
      </c>
      <c r="L971" t="s">
        <v>2800</v>
      </c>
      <c r="M971" t="s">
        <v>1378</v>
      </c>
      <c r="N971" t="s">
        <v>963</v>
      </c>
      <c r="O971">
        <v>129230</v>
      </c>
      <c r="P971">
        <v>129230</v>
      </c>
    </row>
    <row r="972" spans="1:16">
      <c r="A972" t="s">
        <v>2801</v>
      </c>
      <c r="B972" s="26">
        <v>44188</v>
      </c>
      <c r="C972" s="26">
        <v>44188</v>
      </c>
      <c r="D972" t="s">
        <v>939</v>
      </c>
      <c r="E972" s="26"/>
      <c r="G972">
        <v>2019</v>
      </c>
      <c r="H972" t="s">
        <v>2802</v>
      </c>
      <c r="I972" t="s">
        <v>331</v>
      </c>
      <c r="J972" t="s">
        <v>156</v>
      </c>
      <c r="K972" t="s">
        <v>2803</v>
      </c>
      <c r="L972" t="s">
        <v>1765</v>
      </c>
      <c r="M972" t="s">
        <v>1378</v>
      </c>
      <c r="N972" t="s">
        <v>963</v>
      </c>
      <c r="O972" t="s">
        <v>2803</v>
      </c>
      <c r="P972" t="s">
        <v>2804</v>
      </c>
    </row>
    <row r="973" spans="1:16">
      <c r="A973" t="s">
        <v>2801</v>
      </c>
      <c r="B973" s="26">
        <v>44188</v>
      </c>
      <c r="C973" s="26">
        <v>44188</v>
      </c>
      <c r="D973" t="s">
        <v>939</v>
      </c>
      <c r="E973" s="26"/>
      <c r="G973">
        <v>2019</v>
      </c>
      <c r="H973" t="s">
        <v>2802</v>
      </c>
      <c r="I973" t="s">
        <v>331</v>
      </c>
      <c r="J973" t="s">
        <v>156</v>
      </c>
      <c r="K973" t="s">
        <v>2805</v>
      </c>
      <c r="L973" t="s">
        <v>1381</v>
      </c>
      <c r="M973" t="s">
        <v>1378</v>
      </c>
      <c r="N973" t="s">
        <v>963</v>
      </c>
      <c r="O973" t="s">
        <v>2805</v>
      </c>
      <c r="P973" t="s">
        <v>2804</v>
      </c>
    </row>
    <row r="974" spans="1:16">
      <c r="A974" t="s">
        <v>2801</v>
      </c>
      <c r="B974" s="26">
        <v>44188</v>
      </c>
      <c r="C974" s="26">
        <v>44188</v>
      </c>
      <c r="D974" t="s">
        <v>939</v>
      </c>
      <c r="E974" s="26"/>
      <c r="G974">
        <v>2019</v>
      </c>
      <c r="H974" t="s">
        <v>2802</v>
      </c>
      <c r="I974" t="s">
        <v>331</v>
      </c>
      <c r="J974" t="s">
        <v>156</v>
      </c>
      <c r="K974" t="s">
        <v>2806</v>
      </c>
      <c r="L974" t="s">
        <v>1390</v>
      </c>
      <c r="M974" t="s">
        <v>1378</v>
      </c>
      <c r="N974" t="s">
        <v>963</v>
      </c>
      <c r="O974" t="s">
        <v>2806</v>
      </c>
      <c r="P974" t="s">
        <v>2804</v>
      </c>
    </row>
    <row r="975" spans="1:16">
      <c r="A975" t="s">
        <v>2801</v>
      </c>
      <c r="B975" s="26">
        <v>44188</v>
      </c>
      <c r="C975" s="26">
        <v>44188</v>
      </c>
      <c r="D975" t="s">
        <v>939</v>
      </c>
      <c r="E975" s="26"/>
      <c r="G975">
        <v>2019</v>
      </c>
      <c r="H975" t="s">
        <v>2802</v>
      </c>
      <c r="I975" t="s">
        <v>331</v>
      </c>
      <c r="J975" t="s">
        <v>156</v>
      </c>
      <c r="K975" t="s">
        <v>2807</v>
      </c>
      <c r="L975" t="s">
        <v>2456</v>
      </c>
      <c r="M975" t="s">
        <v>1378</v>
      </c>
      <c r="N975" t="s">
        <v>963</v>
      </c>
      <c r="O975" t="s">
        <v>2807</v>
      </c>
      <c r="P975" t="s">
        <v>2804</v>
      </c>
    </row>
    <row r="976" spans="1:16">
      <c r="A976" t="s">
        <v>2808</v>
      </c>
      <c r="B976" s="26">
        <v>41692</v>
      </c>
      <c r="C976" s="26">
        <v>41692</v>
      </c>
      <c r="D976" t="s">
        <v>939</v>
      </c>
      <c r="E976" s="26"/>
      <c r="G976">
        <v>2013</v>
      </c>
      <c r="H976" t="s">
        <v>2809</v>
      </c>
      <c r="I976" t="s">
        <v>95</v>
      </c>
      <c r="J976" t="s">
        <v>95</v>
      </c>
      <c r="K976">
        <v>313027</v>
      </c>
      <c r="L976" t="s">
        <v>2810</v>
      </c>
      <c r="M976" t="s">
        <v>2811</v>
      </c>
      <c r="N976" t="s">
        <v>1088</v>
      </c>
      <c r="P976">
        <v>313027</v>
      </c>
    </row>
    <row r="977" spans="1:17">
      <c r="A977" t="s">
        <v>2812</v>
      </c>
      <c r="B977" s="26">
        <v>43472</v>
      </c>
      <c r="C977" s="26">
        <v>43472</v>
      </c>
      <c r="D977" t="s">
        <v>939</v>
      </c>
      <c r="E977" s="26"/>
      <c r="G977">
        <v>2017</v>
      </c>
      <c r="H977" t="s">
        <v>2813</v>
      </c>
      <c r="I977" t="s">
        <v>41</v>
      </c>
      <c r="J977" t="s">
        <v>156</v>
      </c>
      <c r="K977" t="s">
        <v>953</v>
      </c>
      <c r="L977" t="s">
        <v>1370</v>
      </c>
      <c r="M977" t="s">
        <v>1791</v>
      </c>
      <c r="N977" t="s">
        <v>963</v>
      </c>
    </row>
    <row r="978" spans="1:17">
      <c r="A978" t="s">
        <v>2814</v>
      </c>
      <c r="B978" s="26">
        <v>43106</v>
      </c>
      <c r="C978" s="26">
        <v>43106</v>
      </c>
      <c r="D978" t="s">
        <v>939</v>
      </c>
      <c r="E978" s="26"/>
      <c r="G978">
        <v>2017</v>
      </c>
      <c r="H978" t="s">
        <v>2815</v>
      </c>
      <c r="I978" t="s">
        <v>41</v>
      </c>
      <c r="K978" t="s">
        <v>953</v>
      </c>
      <c r="L978" t="s">
        <v>2816</v>
      </c>
      <c r="M978" t="s">
        <v>1413</v>
      </c>
      <c r="N978" t="s">
        <v>963</v>
      </c>
    </row>
    <row r="979" spans="1:17">
      <c r="A979" t="s">
        <v>2817</v>
      </c>
      <c r="B979" s="26">
        <v>42944</v>
      </c>
      <c r="C979" s="26">
        <v>42944</v>
      </c>
      <c r="D979" t="s">
        <v>939</v>
      </c>
      <c r="E979" s="26"/>
      <c r="G979">
        <v>2016</v>
      </c>
      <c r="H979" t="s">
        <v>2818</v>
      </c>
      <c r="I979" t="s">
        <v>41</v>
      </c>
      <c r="K979" t="s">
        <v>953</v>
      </c>
      <c r="M979" t="s">
        <v>1413</v>
      </c>
      <c r="N979" t="s">
        <v>963</v>
      </c>
    </row>
    <row r="980" spans="1:17">
      <c r="A980" t="s">
        <v>2819</v>
      </c>
      <c r="B980" s="26">
        <v>42787</v>
      </c>
      <c r="C980" s="26">
        <v>42787</v>
      </c>
      <c r="D980" t="s">
        <v>939</v>
      </c>
      <c r="E980" s="26"/>
      <c r="G980">
        <v>2016</v>
      </c>
      <c r="H980" t="s">
        <v>2820</v>
      </c>
      <c r="I980" t="s">
        <v>41</v>
      </c>
      <c r="J980" t="s">
        <v>41</v>
      </c>
      <c r="K980" t="s">
        <v>953</v>
      </c>
      <c r="L980" t="s">
        <v>1399</v>
      </c>
      <c r="M980" t="s">
        <v>1413</v>
      </c>
      <c r="N980" t="s">
        <v>963</v>
      </c>
    </row>
    <row r="981" spans="1:17">
      <c r="A981" t="s">
        <v>2821</v>
      </c>
      <c r="B981" s="26">
        <v>44221</v>
      </c>
      <c r="C981" s="26">
        <v>44221</v>
      </c>
      <c r="D981" t="s">
        <v>939</v>
      </c>
      <c r="E981" s="26"/>
      <c r="G981">
        <v>2020</v>
      </c>
      <c r="H981" t="s">
        <v>2822</v>
      </c>
      <c r="I981" t="s">
        <v>69</v>
      </c>
      <c r="J981" t="s">
        <v>69</v>
      </c>
      <c r="K981">
        <v>973172</v>
      </c>
      <c r="L981" t="s">
        <v>2823</v>
      </c>
      <c r="M981" t="s">
        <v>2824</v>
      </c>
      <c r="N981" t="s">
        <v>963</v>
      </c>
      <c r="O981">
        <v>973172</v>
      </c>
      <c r="P981">
        <v>973172</v>
      </c>
    </row>
    <row r="982" spans="1:17">
      <c r="A982" t="s">
        <v>2825</v>
      </c>
      <c r="B982" s="26">
        <v>40942</v>
      </c>
      <c r="C982" s="26">
        <v>40942</v>
      </c>
      <c r="D982" t="s">
        <v>1206</v>
      </c>
      <c r="E982" s="26"/>
      <c r="G982">
        <v>2011</v>
      </c>
      <c r="H982" t="s">
        <v>2826</v>
      </c>
      <c r="I982" t="s">
        <v>33</v>
      </c>
      <c r="J982" t="s">
        <v>35</v>
      </c>
      <c r="K982">
        <v>749995</v>
      </c>
      <c r="L982" t="s">
        <v>1787</v>
      </c>
      <c r="M982" t="s">
        <v>1409</v>
      </c>
      <c r="N982" t="s">
        <v>1210</v>
      </c>
      <c r="P982">
        <v>749995</v>
      </c>
      <c r="Q982">
        <v>750000</v>
      </c>
    </row>
    <row r="983" spans="1:17">
      <c r="A983" t="s">
        <v>2827</v>
      </c>
      <c r="B983" s="26">
        <v>42369</v>
      </c>
      <c r="C983" s="26">
        <v>42369</v>
      </c>
      <c r="D983" t="s">
        <v>939</v>
      </c>
      <c r="E983" s="26"/>
      <c r="G983">
        <v>2015</v>
      </c>
      <c r="H983" t="s">
        <v>2828</v>
      </c>
      <c r="I983" t="s">
        <v>33</v>
      </c>
      <c r="J983" t="s">
        <v>47</v>
      </c>
      <c r="K983">
        <v>170000</v>
      </c>
      <c r="L983" t="s">
        <v>2829</v>
      </c>
      <c r="M983" t="s">
        <v>1778</v>
      </c>
      <c r="N983" t="s">
        <v>1210</v>
      </c>
      <c r="O983">
        <v>170000</v>
      </c>
      <c r="P983">
        <v>170000</v>
      </c>
      <c r="Q983">
        <v>200000</v>
      </c>
    </row>
    <row r="984" spans="1:17">
      <c r="A984" t="s">
        <v>2830</v>
      </c>
      <c r="B984" s="26">
        <v>41206</v>
      </c>
      <c r="C984" s="26">
        <v>41206</v>
      </c>
      <c r="D984" t="s">
        <v>939</v>
      </c>
      <c r="E984" s="26"/>
      <c r="G984">
        <v>2012</v>
      </c>
      <c r="H984" t="s">
        <v>2831</v>
      </c>
      <c r="I984" t="s">
        <v>33</v>
      </c>
      <c r="J984" t="s">
        <v>35</v>
      </c>
      <c r="K984">
        <v>115000</v>
      </c>
      <c r="L984" t="s">
        <v>142</v>
      </c>
      <c r="M984" t="s">
        <v>1409</v>
      </c>
      <c r="N984" t="s">
        <v>1210</v>
      </c>
      <c r="O984">
        <v>115000</v>
      </c>
      <c r="P984">
        <v>115000</v>
      </c>
      <c r="Q984">
        <v>120000</v>
      </c>
    </row>
    <row r="985" spans="1:17">
      <c r="A985" t="s">
        <v>2832</v>
      </c>
      <c r="B985" s="26">
        <v>44526</v>
      </c>
      <c r="C985" s="26">
        <v>44526</v>
      </c>
      <c r="D985" t="s">
        <v>939</v>
      </c>
      <c r="E985" s="26"/>
      <c r="G985">
        <v>2021</v>
      </c>
      <c r="H985" t="s">
        <v>2833</v>
      </c>
      <c r="I985" t="s">
        <v>69</v>
      </c>
      <c r="J985" t="s">
        <v>69</v>
      </c>
      <c r="K985" t="s">
        <v>953</v>
      </c>
      <c r="L985" t="s">
        <v>788</v>
      </c>
      <c r="M985" t="s">
        <v>1781</v>
      </c>
      <c r="N985" t="s">
        <v>963</v>
      </c>
    </row>
    <row r="986" spans="1:17">
      <c r="A986" t="s">
        <v>2834</v>
      </c>
      <c r="B986" s="26">
        <v>43050</v>
      </c>
      <c r="C986" s="26">
        <v>43050</v>
      </c>
      <c r="D986" t="s">
        <v>939</v>
      </c>
      <c r="E986" s="26"/>
      <c r="G986">
        <v>2017</v>
      </c>
      <c r="H986" t="s">
        <v>2835</v>
      </c>
      <c r="I986" t="s">
        <v>69</v>
      </c>
      <c r="K986">
        <v>205686</v>
      </c>
      <c r="M986" t="s">
        <v>1781</v>
      </c>
      <c r="N986" t="s">
        <v>963</v>
      </c>
      <c r="P986">
        <v>205686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5F2B-E288-447A-85C7-FB57D27D5076}">
  <dimension ref="A1:L19"/>
  <sheetViews>
    <sheetView workbookViewId="0">
      <selection activeCell="H22" sqref="H22"/>
    </sheetView>
  </sheetViews>
  <sheetFormatPr defaultRowHeight="14.45"/>
  <cols>
    <col min="1" max="1" width="19.85546875" bestFit="1" customWidth="1"/>
    <col min="2" max="2" width="8.85546875" customWidth="1"/>
    <col min="6" max="6" width="16.85546875" bestFit="1" customWidth="1"/>
    <col min="7" max="8" width="19.5703125" bestFit="1" customWidth="1"/>
    <col min="11" max="11" width="14.42578125" bestFit="1" customWidth="1"/>
    <col min="12" max="12" width="17" bestFit="1" customWidth="1"/>
  </cols>
  <sheetData>
    <row r="1" spans="1:12" s="25" customFormat="1" ht="18.600000000000001" thickBot="1">
      <c r="A1" s="25" t="s">
        <v>2836</v>
      </c>
    </row>
    <row r="2" spans="1:12">
      <c r="A2" s="16" t="s">
        <v>1</v>
      </c>
      <c r="B2" s="17">
        <v>2014</v>
      </c>
      <c r="C2" s="17">
        <v>2015</v>
      </c>
      <c r="D2" s="17">
        <v>2016</v>
      </c>
      <c r="E2" s="17">
        <v>2017</v>
      </c>
      <c r="F2" s="17">
        <v>2018</v>
      </c>
      <c r="G2" s="17">
        <v>2019</v>
      </c>
      <c r="H2" s="17">
        <v>2020</v>
      </c>
      <c r="I2" s="17">
        <v>2021</v>
      </c>
      <c r="J2" s="17">
        <v>2022</v>
      </c>
      <c r="K2" s="10" t="s">
        <v>2837</v>
      </c>
      <c r="L2" s="10" t="s">
        <v>2838</v>
      </c>
    </row>
    <row r="3" spans="1:12">
      <c r="A3" s="18" t="s">
        <v>157</v>
      </c>
      <c r="B3" t="s">
        <v>62</v>
      </c>
      <c r="C3" t="s">
        <v>62</v>
      </c>
      <c r="D3" t="s">
        <v>62</v>
      </c>
      <c r="E3" t="s">
        <v>62</v>
      </c>
      <c r="F3" t="s">
        <v>62</v>
      </c>
      <c r="G3" t="s">
        <v>62</v>
      </c>
      <c r="H3">
        <f>COUNTIF('2020'!B2:B155,A3)</f>
        <v>4</v>
      </c>
      <c r="I3">
        <f>COUNTIF('2021'!B2:B224,A3)</f>
        <v>6</v>
      </c>
      <c r="J3">
        <f>COUNTIF('2022'!B2:B334,A3)</f>
        <v>5</v>
      </c>
      <c r="K3" s="7">
        <f>SUM(H3:J3)</f>
        <v>15</v>
      </c>
      <c r="L3" s="12">
        <f>K3/K9</f>
        <v>1.1709601873536301E-2</v>
      </c>
    </row>
    <row r="4" spans="1:12">
      <c r="A4" s="18" t="s">
        <v>158</v>
      </c>
      <c r="B4">
        <f>COUNTIF('2014'!B:B,Copernicus!A4)</f>
        <v>1</v>
      </c>
      <c r="C4">
        <f>COUNTIF('2015'!B:B,A4)</f>
        <v>6</v>
      </c>
      <c r="D4">
        <f>COUNTIF('2016'!B:B,A4)</f>
        <v>2</v>
      </c>
      <c r="E4">
        <f>COUNTIF('2017'!B:B,A4)</f>
        <v>1</v>
      </c>
      <c r="F4">
        <f>COUNTIF('2018'!B:B,A4)</f>
        <v>0</v>
      </c>
      <c r="G4">
        <f>COUNTIF('2019'!B:B,A4)</f>
        <v>2</v>
      </c>
      <c r="H4">
        <f>COUNTIF('2020'!B:B,A4)</f>
        <v>1</v>
      </c>
      <c r="I4">
        <f>COUNTIF('2021'!B:B,A4)</f>
        <v>5</v>
      </c>
      <c r="J4">
        <f>COUNTIF('2022'!B:B,A4)</f>
        <v>4</v>
      </c>
      <c r="K4" s="7">
        <f>SUM(B4:J4)</f>
        <v>22</v>
      </c>
      <c r="L4" s="12">
        <f>K4/K9</f>
        <v>1.7174082747853241E-2</v>
      </c>
    </row>
    <row r="5" spans="1:12">
      <c r="A5" s="18" t="s">
        <v>67</v>
      </c>
      <c r="B5">
        <f>COUNTIF('2014'!B:B,A5)</f>
        <v>0</v>
      </c>
      <c r="C5">
        <f>COUNTIF('2015'!B:B,A5)</f>
        <v>10</v>
      </c>
      <c r="D5">
        <f>COUNTIF('2016'!B:B,A5)</f>
        <v>4</v>
      </c>
      <c r="E5">
        <f>COUNTIF('2017'!B:B,A5)</f>
        <v>3</v>
      </c>
      <c r="F5">
        <f>COUNTIF('2018'!B:B,A5)</f>
        <v>1</v>
      </c>
      <c r="G5">
        <f>COUNTIF('2019'!B:B,A5)</f>
        <v>2</v>
      </c>
      <c r="H5">
        <f>COUNTIF('2020'!B:B,A5)</f>
        <v>0</v>
      </c>
      <c r="I5">
        <f>COUNTIF('2021'!B:B,A5)</f>
        <v>2</v>
      </c>
      <c r="J5">
        <f>COUNTIF('2022'!B:B,A5)</f>
        <v>0</v>
      </c>
      <c r="K5" s="7">
        <f t="shared" ref="K5:K7" si="0">SUM(B5:J5)</f>
        <v>22</v>
      </c>
      <c r="L5" s="12">
        <f>K5/K9</f>
        <v>1.7174082747853241E-2</v>
      </c>
    </row>
    <row r="6" spans="1:12">
      <c r="A6" s="18" t="s">
        <v>156</v>
      </c>
      <c r="B6">
        <f>COUNTIF('2014'!B:B,Copernicus!A6)</f>
        <v>0</v>
      </c>
      <c r="C6">
        <f>COUNTIF('2015'!B:B,Copernicus!A6)</f>
        <v>1</v>
      </c>
      <c r="D6">
        <f>COUNTIF('2016'!B:B,Copernicus!A6)</f>
        <v>0</v>
      </c>
      <c r="E6">
        <f>COUNTIF('2017'!B:B,Copernicus!A6)</f>
        <v>0</v>
      </c>
      <c r="F6">
        <f>COUNTIF('2018'!B:B,Copernicus!A6)</f>
        <v>0</v>
      </c>
      <c r="G6">
        <f>COUNTIF('2019'!B:B,Copernicus!A6)</f>
        <v>0</v>
      </c>
      <c r="H6">
        <f>COUNTIF('2020'!B:B,Copernicus!A6)</f>
        <v>0</v>
      </c>
      <c r="I6">
        <f>COUNTIF('2021'!B:B,Copernicus!A6)</f>
        <v>0</v>
      </c>
      <c r="J6">
        <f>COUNTIF('2022'!B:B,Copernicus!A6)</f>
        <v>1</v>
      </c>
      <c r="K6" s="7">
        <f t="shared" si="0"/>
        <v>2</v>
      </c>
      <c r="L6" s="12">
        <f>K6/K9</f>
        <v>1.56128024980484E-3</v>
      </c>
    </row>
    <row r="7" spans="1:12" ht="15" thickBot="1">
      <c r="A7" s="18" t="s">
        <v>61</v>
      </c>
      <c r="B7">
        <f>COUNTIF('2014'!B:B,Copernicus!A7)</f>
        <v>0</v>
      </c>
      <c r="C7">
        <f>COUNTIF('2015'!B:B,Copernicus!A7)</f>
        <v>2</v>
      </c>
      <c r="D7">
        <f>COUNTIF('2016'!B:B,Copernicus!A7)</f>
        <v>1</v>
      </c>
      <c r="E7">
        <f>COUNTIF('2017'!B:B,Copernicus!A7)</f>
        <v>1</v>
      </c>
      <c r="F7">
        <f>COUNTIF('2018'!B:B,Copernicus!A7)</f>
        <v>0</v>
      </c>
      <c r="G7">
        <f>COUNTIF('2019'!B:B,Copernicus!A7)</f>
        <v>2</v>
      </c>
      <c r="H7">
        <f>COUNTIF('2020'!B:B,Copernicus!A7)</f>
        <v>1</v>
      </c>
      <c r="I7">
        <f>COUNTIF('2021'!B:B,Copernicus!A7)</f>
        <v>4</v>
      </c>
      <c r="J7">
        <f>COUNTIF('2022'!B:B,Copernicus!A7)</f>
        <v>1</v>
      </c>
      <c r="K7" s="7">
        <f t="shared" si="0"/>
        <v>12</v>
      </c>
      <c r="L7" s="12">
        <f>K7/K9</f>
        <v>9.3676814988290398E-3</v>
      </c>
    </row>
    <row r="8" spans="1:12" ht="15" thickBot="1">
      <c r="A8" s="11" t="s">
        <v>2839</v>
      </c>
      <c r="B8" s="8">
        <f>SUM(B4:B7)</f>
        <v>1</v>
      </c>
      <c r="C8" s="8">
        <f t="shared" ref="C8:G8" si="1">SUM(C4:C7)</f>
        <v>19</v>
      </c>
      <c r="D8" s="8">
        <f t="shared" si="1"/>
        <v>7</v>
      </c>
      <c r="E8" s="8">
        <f t="shared" si="1"/>
        <v>5</v>
      </c>
      <c r="F8" s="8">
        <f t="shared" si="1"/>
        <v>1</v>
      </c>
      <c r="G8" s="8">
        <f t="shared" si="1"/>
        <v>6</v>
      </c>
      <c r="H8" s="8">
        <f>SUM(H3:H7)</f>
        <v>6</v>
      </c>
      <c r="I8" s="8">
        <f>SUM(I3:I7)</f>
        <v>17</v>
      </c>
      <c r="J8" s="8">
        <f>SUM(J3:J7)</f>
        <v>11</v>
      </c>
      <c r="K8" s="9">
        <f>SUM(B8:J8)</f>
        <v>73</v>
      </c>
      <c r="L8" s="108">
        <f>K8/K9</f>
        <v>5.698672911787666E-2</v>
      </c>
    </row>
    <row r="9" spans="1:12" ht="15" thickBot="1">
      <c r="A9" s="14" t="s">
        <v>2840</v>
      </c>
      <c r="B9" s="15">
        <f>COUNTA('2014'!B:B)-1</f>
        <v>6</v>
      </c>
      <c r="C9" s="15">
        <f>COUNTA('2015'!B:B)-1</f>
        <v>189</v>
      </c>
      <c r="D9" s="15">
        <f>COUNTA('2016'!B:B)-1</f>
        <v>115</v>
      </c>
      <c r="E9" s="15">
        <f>COUNTA('2017'!B:B)-1</f>
        <v>86</v>
      </c>
      <c r="F9" s="15">
        <f>COUNTA('2018'!B:B)-1</f>
        <v>81</v>
      </c>
      <c r="G9" s="15">
        <f>COUNTA('2019'!B:B)-1</f>
        <v>94</v>
      </c>
      <c r="H9" s="15">
        <f>COUNTA('2020'!B:B)-1</f>
        <v>154</v>
      </c>
      <c r="I9" s="15">
        <f>COUNTA('2021'!B:B)-1</f>
        <v>223</v>
      </c>
      <c r="J9" s="15">
        <f>COUNTA('2022'!B:B)-1</f>
        <v>333</v>
      </c>
      <c r="K9" s="13">
        <f>SUM(B9:J9)</f>
        <v>1281</v>
      </c>
      <c r="L9" s="109"/>
    </row>
    <row r="11" spans="1:12" s="25" customFormat="1" ht="18.600000000000001" thickBot="1">
      <c r="A11" s="25" t="s">
        <v>2841</v>
      </c>
    </row>
    <row r="12" spans="1:12">
      <c r="A12" s="16" t="s">
        <v>1</v>
      </c>
      <c r="B12" s="17" t="s">
        <v>2842</v>
      </c>
      <c r="C12" s="17" t="s">
        <v>2843</v>
      </c>
      <c r="D12" s="17" t="s">
        <v>2844</v>
      </c>
      <c r="E12" s="17" t="s">
        <v>2845</v>
      </c>
      <c r="F12" s="17" t="s">
        <v>2846</v>
      </c>
      <c r="G12" s="10" t="s">
        <v>2847</v>
      </c>
      <c r="H12" s="10" t="s">
        <v>2848</v>
      </c>
    </row>
    <row r="13" spans="1:12">
      <c r="A13" s="18" t="s">
        <v>158</v>
      </c>
      <c r="B13">
        <f>COUNTIF('Sentinel 1'!C:C,Copernicus!A13)</f>
        <v>1</v>
      </c>
      <c r="C13">
        <f>COUNTIF('Sentinel 2'!C:C,Copernicus!A13)</f>
        <v>0</v>
      </c>
      <c r="D13">
        <f>COUNTIF('Sentinel 3'!C:C,Copernicus!A13)</f>
        <v>2</v>
      </c>
      <c r="E13">
        <f>COUNTIF('Sentinel 4'!C:C,Copernicus!A13)</f>
        <v>2</v>
      </c>
      <c r="F13">
        <f>COUNTIF('Sentinel 5'!C:C,Copernicus!A13)</f>
        <v>0</v>
      </c>
      <c r="G13" s="7">
        <f t="shared" ref="G13:G19" si="2">SUM(B13:F13)</f>
        <v>5</v>
      </c>
      <c r="H13" s="19">
        <f>G13/G19</f>
        <v>1.3812154696132596E-2</v>
      </c>
    </row>
    <row r="14" spans="1:12">
      <c r="A14" s="18" t="s">
        <v>67</v>
      </c>
      <c r="B14">
        <f>COUNTIF('Sentinel 1'!C:C,Copernicus!A14)</f>
        <v>9</v>
      </c>
      <c r="C14">
        <f>COUNTIF('Sentinel 2'!C:C,Copernicus!A14)</f>
        <v>2</v>
      </c>
      <c r="D14">
        <f>COUNTIF('Sentinel 3'!C:C,Copernicus!A14)</f>
        <v>7</v>
      </c>
      <c r="E14">
        <f>COUNTIF('Sentinel 4'!C:C,Copernicus!A14)</f>
        <v>3</v>
      </c>
      <c r="F14">
        <f>COUNTIF('Sentinel 5'!C:C,Copernicus!A14)</f>
        <v>3</v>
      </c>
      <c r="G14" s="7">
        <f t="shared" si="2"/>
        <v>24</v>
      </c>
      <c r="H14" s="19">
        <f>G14/G19</f>
        <v>6.6298342541436461E-2</v>
      </c>
    </row>
    <row r="15" spans="1:12">
      <c r="A15" s="18" t="s">
        <v>156</v>
      </c>
      <c r="B15">
        <f>COUNTIF('Sentinel 1'!C:C,Copernicus!A15)</f>
        <v>1</v>
      </c>
      <c r="C15">
        <f>COUNTIF('Sentinel 2'!C:C,Copernicus!A15)</f>
        <v>2</v>
      </c>
      <c r="D15">
        <f>COUNTIF('Sentinel 3'!C:C,Copernicus!A15)</f>
        <v>0</v>
      </c>
      <c r="E15">
        <f>COUNTIF('Sentinel 4'!C:C,Copernicus!A15)</f>
        <v>0</v>
      </c>
      <c r="F15">
        <f>COUNTIF('Sentinel 5'!C:C,Copernicus!A15)</f>
        <v>0</v>
      </c>
      <c r="G15" s="7">
        <f t="shared" si="2"/>
        <v>3</v>
      </c>
      <c r="H15" s="19">
        <f>G15/G19</f>
        <v>8.2872928176795577E-3</v>
      </c>
    </row>
    <row r="16" spans="1:12">
      <c r="A16" s="18" t="s">
        <v>61</v>
      </c>
      <c r="B16">
        <f>COUNTIF('Sentinel 1'!C:C,Copernicus!A16)</f>
        <v>1</v>
      </c>
      <c r="C16">
        <f>COUNTIF('Sentinel 2'!C:C,Copernicus!A16)</f>
        <v>1</v>
      </c>
      <c r="D16">
        <f>COUNTIF('Sentinel 3'!C:C,Copernicus!A16)</f>
        <v>2</v>
      </c>
      <c r="E16">
        <f>COUNTIF('Sentinel 4'!C:C,Copernicus!A16)</f>
        <v>0</v>
      </c>
      <c r="F16">
        <f>COUNTIF('Sentinel 5'!C:C,Copernicus!A16)</f>
        <v>0</v>
      </c>
      <c r="G16" s="7">
        <f t="shared" si="2"/>
        <v>4</v>
      </c>
      <c r="H16" s="19">
        <f>G16/G19</f>
        <v>1.1049723756906077E-2</v>
      </c>
    </row>
    <row r="17" spans="1:8" ht="15" thickBot="1">
      <c r="A17" s="18" t="s">
        <v>1737</v>
      </c>
      <c r="B17">
        <f>COUNTIF('Sentinel 1'!C:C,Copernicus!A17)</f>
        <v>3</v>
      </c>
      <c r="C17">
        <f>COUNTIF('Sentinel 2'!C:C,Copernicus!A17)</f>
        <v>0</v>
      </c>
      <c r="D17">
        <f>COUNTIF('Sentinel 3'!C:C,Copernicus!A17)</f>
        <v>1</v>
      </c>
      <c r="E17">
        <f>COUNTIF('Sentinel 4'!C:C,Copernicus!A17)</f>
        <v>0</v>
      </c>
      <c r="F17">
        <f>COUNTIF('Sentinel 5'!C:C,Copernicus!A17)</f>
        <v>0</v>
      </c>
      <c r="G17" s="7">
        <f t="shared" si="2"/>
        <v>4</v>
      </c>
      <c r="H17" s="19">
        <f>G17/G19</f>
        <v>1.1049723756906077E-2</v>
      </c>
    </row>
    <row r="18" spans="1:8" ht="15" thickBot="1">
      <c r="A18" s="11" t="s">
        <v>2849</v>
      </c>
      <c r="B18" s="8">
        <f>SUM(B13:B17)</f>
        <v>15</v>
      </c>
      <c r="C18" s="8">
        <f t="shared" ref="C18:F18" si="3">SUM(C13:C17)</f>
        <v>5</v>
      </c>
      <c r="D18" s="8">
        <f t="shared" si="3"/>
        <v>12</v>
      </c>
      <c r="E18" s="8">
        <f t="shared" si="3"/>
        <v>5</v>
      </c>
      <c r="F18" s="8">
        <f t="shared" si="3"/>
        <v>3</v>
      </c>
      <c r="G18" s="9">
        <f t="shared" si="2"/>
        <v>40</v>
      </c>
      <c r="H18" s="108">
        <f>G18/G19</f>
        <v>0.11049723756906077</v>
      </c>
    </row>
    <row r="19" spans="1:8" ht="15" thickBot="1">
      <c r="A19" s="14" t="s">
        <v>2850</v>
      </c>
      <c r="B19" s="15">
        <f>COUNTA('Sentinel 1'!C:C)-1</f>
        <v>81</v>
      </c>
      <c r="C19" s="15">
        <f>COUNTA('Sentinel 2'!C:C)-1</f>
        <v>38</v>
      </c>
      <c r="D19" s="15">
        <f>COUNTA('Sentinel 3'!C:C)-1</f>
        <v>136</v>
      </c>
      <c r="E19" s="15">
        <f>COUNTA('Sentinel 4'!C:C)-1</f>
        <v>57</v>
      </c>
      <c r="F19" s="15">
        <f>COUNTA('Sentinel 5'!C:C)-1</f>
        <v>50</v>
      </c>
      <c r="G19" s="9">
        <f t="shared" si="2"/>
        <v>362</v>
      </c>
      <c r="H19" s="109"/>
    </row>
  </sheetData>
  <mergeCells count="2">
    <mergeCell ref="L8:L9"/>
    <mergeCell ref="H18:H1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5409-9145-48C7-8E29-D15FDA9805B3}">
  <dimension ref="A1:C82"/>
  <sheetViews>
    <sheetView topLeftCell="A5" workbookViewId="0"/>
  </sheetViews>
  <sheetFormatPr defaultRowHeight="14.45"/>
  <cols>
    <col min="1" max="1" width="33.7109375" bestFit="1" customWidth="1"/>
    <col min="2" max="2" width="32.140625" bestFit="1" customWidth="1"/>
  </cols>
  <sheetData>
    <row r="1" spans="1:3">
      <c r="A1" t="s">
        <v>2851</v>
      </c>
      <c r="B1" t="s">
        <v>2852</v>
      </c>
      <c r="C1" t="s">
        <v>1</v>
      </c>
    </row>
    <row r="2" spans="1:3">
      <c r="A2" t="s">
        <v>2853</v>
      </c>
      <c r="B2" s="6" t="s">
        <v>2854</v>
      </c>
      <c r="C2" t="s">
        <v>65</v>
      </c>
    </row>
    <row r="3" spans="1:3">
      <c r="A3" t="s">
        <v>2855</v>
      </c>
      <c r="B3" t="s">
        <v>2854</v>
      </c>
      <c r="C3" t="s">
        <v>65</v>
      </c>
    </row>
    <row r="4" spans="1:3">
      <c r="A4" t="s">
        <v>2856</v>
      </c>
      <c r="B4" t="s">
        <v>2857</v>
      </c>
      <c r="C4" t="s">
        <v>33</v>
      </c>
    </row>
    <row r="5" spans="1:3">
      <c r="A5" t="s">
        <v>2858</v>
      </c>
      <c r="B5" t="s">
        <v>2859</v>
      </c>
      <c r="C5" t="s">
        <v>61</v>
      </c>
    </row>
    <row r="6" spans="1:3">
      <c r="A6" t="s">
        <v>2860</v>
      </c>
      <c r="B6" t="s">
        <v>2861</v>
      </c>
      <c r="C6" t="s">
        <v>67</v>
      </c>
    </row>
    <row r="7" spans="1:3">
      <c r="A7" t="s">
        <v>2860</v>
      </c>
      <c r="B7" t="s">
        <v>2862</v>
      </c>
      <c r="C7" t="s">
        <v>67</v>
      </c>
    </row>
    <row r="8" spans="1:3">
      <c r="A8" t="s">
        <v>2863</v>
      </c>
      <c r="B8" t="s">
        <v>2864</v>
      </c>
      <c r="C8" t="s">
        <v>39</v>
      </c>
    </row>
    <row r="9" spans="1:3">
      <c r="A9" t="s">
        <v>2865</v>
      </c>
      <c r="B9" t="s">
        <v>2866</v>
      </c>
      <c r="C9" t="s">
        <v>39</v>
      </c>
    </row>
    <row r="10" spans="1:3">
      <c r="A10" t="s">
        <v>2867</v>
      </c>
      <c r="B10" t="s">
        <v>2868</v>
      </c>
      <c r="C10" t="s">
        <v>39</v>
      </c>
    </row>
    <row r="11" spans="1:3">
      <c r="A11" t="s">
        <v>2869</v>
      </c>
      <c r="B11" t="s">
        <v>2870</v>
      </c>
      <c r="C11" t="s">
        <v>39</v>
      </c>
    </row>
    <row r="12" spans="1:3">
      <c r="A12" t="s">
        <v>2871</v>
      </c>
      <c r="B12" t="s">
        <v>2870</v>
      </c>
      <c r="C12" t="s">
        <v>39</v>
      </c>
    </row>
    <row r="13" spans="1:3">
      <c r="A13" t="s">
        <v>2872</v>
      </c>
      <c r="B13" t="s">
        <v>2873</v>
      </c>
      <c r="C13" t="s">
        <v>44</v>
      </c>
    </row>
    <row r="14" spans="1:3">
      <c r="A14" t="s">
        <v>2855</v>
      </c>
      <c r="B14" t="s">
        <v>2874</v>
      </c>
      <c r="C14" t="s">
        <v>44</v>
      </c>
    </row>
    <row r="15" spans="1:3">
      <c r="A15" t="s">
        <v>2875</v>
      </c>
      <c r="B15" t="s">
        <v>2876</v>
      </c>
      <c r="C15" t="s">
        <v>44</v>
      </c>
    </row>
    <row r="16" spans="1:3">
      <c r="A16" t="s">
        <v>2877</v>
      </c>
      <c r="B16" t="s">
        <v>2878</v>
      </c>
      <c r="C16" t="s">
        <v>35</v>
      </c>
    </row>
    <row r="17" spans="1:3">
      <c r="A17" t="s">
        <v>2879</v>
      </c>
      <c r="B17" t="s">
        <v>2880</v>
      </c>
      <c r="C17" t="s">
        <v>35</v>
      </c>
    </row>
    <row r="18" spans="1:3">
      <c r="A18" t="s">
        <v>2881</v>
      </c>
      <c r="B18" t="s">
        <v>2882</v>
      </c>
      <c r="C18" t="s">
        <v>35</v>
      </c>
    </row>
    <row r="19" spans="1:3">
      <c r="A19" t="s">
        <v>2883</v>
      </c>
      <c r="B19" t="s">
        <v>2884</v>
      </c>
      <c r="C19" t="s">
        <v>35</v>
      </c>
    </row>
    <row r="20" spans="1:3">
      <c r="A20" t="s">
        <v>2885</v>
      </c>
      <c r="B20" t="s">
        <v>2886</v>
      </c>
      <c r="C20" t="s">
        <v>1737</v>
      </c>
    </row>
    <row r="21" spans="1:3">
      <c r="A21" t="s">
        <v>2887</v>
      </c>
      <c r="B21" t="s">
        <v>2888</v>
      </c>
      <c r="C21" t="s">
        <v>1737</v>
      </c>
    </row>
    <row r="22" spans="1:3">
      <c r="A22" t="s">
        <v>2889</v>
      </c>
      <c r="B22" t="s">
        <v>2888</v>
      </c>
      <c r="C22" t="s">
        <v>1737</v>
      </c>
    </row>
    <row r="23" spans="1:3">
      <c r="A23" t="s">
        <v>2890</v>
      </c>
      <c r="B23" t="s">
        <v>2891</v>
      </c>
      <c r="C23" t="s">
        <v>47</v>
      </c>
    </row>
    <row r="24" spans="1:3">
      <c r="A24" t="s">
        <v>2892</v>
      </c>
      <c r="B24" t="s">
        <v>2893</v>
      </c>
      <c r="C24" t="s">
        <v>47</v>
      </c>
    </row>
    <row r="25" spans="1:3">
      <c r="A25" t="s">
        <v>2894</v>
      </c>
      <c r="B25" t="s">
        <v>2895</v>
      </c>
      <c r="C25" t="s">
        <v>47</v>
      </c>
    </row>
    <row r="26" spans="1:3">
      <c r="A26" t="s">
        <v>2896</v>
      </c>
      <c r="B26" t="s">
        <v>2897</v>
      </c>
      <c r="C26" t="s">
        <v>47</v>
      </c>
    </row>
    <row r="27" spans="1:3">
      <c r="A27" t="s">
        <v>2898</v>
      </c>
      <c r="B27" t="s">
        <v>2897</v>
      </c>
      <c r="C27" t="s">
        <v>47</v>
      </c>
    </row>
    <row r="28" spans="1:3" ht="28.9">
      <c r="A28" t="s">
        <v>2869</v>
      </c>
      <c r="B28" s="6" t="s">
        <v>2899</v>
      </c>
      <c r="C28" t="s">
        <v>41</v>
      </c>
    </row>
    <row r="29" spans="1:3">
      <c r="A29" t="s">
        <v>2900</v>
      </c>
      <c r="B29" t="s">
        <v>2901</v>
      </c>
      <c r="C29" t="s">
        <v>158</v>
      </c>
    </row>
    <row r="30" spans="1:3">
      <c r="A30" t="s">
        <v>2902</v>
      </c>
      <c r="B30" t="s">
        <v>2903</v>
      </c>
      <c r="C30" t="s">
        <v>80</v>
      </c>
    </row>
    <row r="31" spans="1:3">
      <c r="A31" t="s">
        <v>2904</v>
      </c>
      <c r="B31" t="s">
        <v>2905</v>
      </c>
      <c r="C31" t="s">
        <v>80</v>
      </c>
    </row>
    <row r="32" spans="1:3">
      <c r="A32" t="s">
        <v>2906</v>
      </c>
      <c r="B32" t="s">
        <v>2907</v>
      </c>
      <c r="C32" t="s">
        <v>777</v>
      </c>
    </row>
    <row r="33" spans="1:3">
      <c r="A33" t="s">
        <v>2853</v>
      </c>
      <c r="B33" s="6" t="s">
        <v>2908</v>
      </c>
      <c r="C33" t="s">
        <v>777</v>
      </c>
    </row>
    <row r="34" spans="1:3">
      <c r="A34" t="s">
        <v>2909</v>
      </c>
      <c r="B34" t="s">
        <v>2908</v>
      </c>
      <c r="C34" t="s">
        <v>777</v>
      </c>
    </row>
    <row r="35" spans="1:3">
      <c r="A35" t="s">
        <v>2910</v>
      </c>
      <c r="B35" t="s">
        <v>2911</v>
      </c>
      <c r="C35" t="s">
        <v>157</v>
      </c>
    </row>
    <row r="36" spans="1:3">
      <c r="A36" t="s">
        <v>2912</v>
      </c>
      <c r="B36" t="s">
        <v>2913</v>
      </c>
      <c r="C36" t="s">
        <v>156</v>
      </c>
    </row>
    <row r="37" spans="1:3">
      <c r="A37" t="s">
        <v>2914</v>
      </c>
      <c r="B37" t="s">
        <v>2915</v>
      </c>
      <c r="C37" t="s">
        <v>157</v>
      </c>
    </row>
    <row r="38" spans="1:3">
      <c r="A38" t="s">
        <v>2916</v>
      </c>
      <c r="B38" s="6" t="s">
        <v>2876</v>
      </c>
      <c r="C38" t="s">
        <v>44</v>
      </c>
    </row>
    <row r="39" spans="1:3">
      <c r="A39" t="s">
        <v>2916</v>
      </c>
      <c r="B39" t="s">
        <v>2917</v>
      </c>
      <c r="C39" t="s">
        <v>35</v>
      </c>
    </row>
    <row r="40" spans="1:3">
      <c r="A40" t="s">
        <v>2916</v>
      </c>
      <c r="B40" t="s">
        <v>2857</v>
      </c>
      <c r="C40" t="s">
        <v>33</v>
      </c>
    </row>
    <row r="41" spans="1:3">
      <c r="A41" t="s">
        <v>2918</v>
      </c>
      <c r="B41" t="s">
        <v>2891</v>
      </c>
      <c r="C41" t="s">
        <v>47</v>
      </c>
    </row>
    <row r="42" spans="1:3">
      <c r="A42" t="s">
        <v>2919</v>
      </c>
      <c r="B42" t="s">
        <v>2920</v>
      </c>
      <c r="C42" t="s">
        <v>35</v>
      </c>
    </row>
    <row r="43" spans="1:3">
      <c r="A43" t="s">
        <v>2921</v>
      </c>
      <c r="B43" t="s">
        <v>2922</v>
      </c>
      <c r="C43" t="s">
        <v>44</v>
      </c>
    </row>
    <row r="44" spans="1:3">
      <c r="A44" t="s">
        <v>2923</v>
      </c>
      <c r="B44" t="s">
        <v>2924</v>
      </c>
      <c r="C44" t="s">
        <v>39</v>
      </c>
    </row>
    <row r="45" spans="1:3">
      <c r="A45" t="s">
        <v>2925</v>
      </c>
      <c r="B45" s="6" t="s">
        <v>2926</v>
      </c>
      <c r="C45" t="s">
        <v>65</v>
      </c>
    </row>
    <row r="46" spans="1:3">
      <c r="A46" t="s">
        <v>2925</v>
      </c>
      <c r="B46" s="6" t="s">
        <v>2927</v>
      </c>
      <c r="C46" t="s">
        <v>47</v>
      </c>
    </row>
    <row r="47" spans="1:3">
      <c r="A47" t="s">
        <v>2925</v>
      </c>
      <c r="B47" s="6" t="s">
        <v>2928</v>
      </c>
      <c r="C47" t="s">
        <v>41</v>
      </c>
    </row>
    <row r="48" spans="1:3">
      <c r="A48" t="s">
        <v>2929</v>
      </c>
      <c r="B48" t="s">
        <v>2930</v>
      </c>
      <c r="C48" t="s">
        <v>136</v>
      </c>
    </row>
    <row r="49" spans="1:3">
      <c r="A49" t="s">
        <v>2931</v>
      </c>
      <c r="B49" t="s">
        <v>2932</v>
      </c>
      <c r="C49" t="s">
        <v>65</v>
      </c>
    </row>
    <row r="50" spans="1:3">
      <c r="A50" t="s">
        <v>2931</v>
      </c>
      <c r="B50" t="s">
        <v>2928</v>
      </c>
      <c r="C50" t="s">
        <v>41</v>
      </c>
    </row>
    <row r="51" spans="1:3">
      <c r="A51" t="s">
        <v>2933</v>
      </c>
      <c r="B51" t="s">
        <v>2934</v>
      </c>
      <c r="C51" t="s">
        <v>67</v>
      </c>
    </row>
    <row r="52" spans="1:3">
      <c r="A52" t="s">
        <v>2935</v>
      </c>
      <c r="B52" t="s">
        <v>2928</v>
      </c>
      <c r="C52" t="s">
        <v>41</v>
      </c>
    </row>
    <row r="53" spans="1:3">
      <c r="A53" t="s">
        <v>2936</v>
      </c>
      <c r="B53" t="s">
        <v>2862</v>
      </c>
      <c r="C53" t="s">
        <v>67</v>
      </c>
    </row>
    <row r="54" spans="1:3">
      <c r="A54" t="s">
        <v>2937</v>
      </c>
      <c r="B54" t="s">
        <v>2891</v>
      </c>
      <c r="C54" t="s">
        <v>47</v>
      </c>
    </row>
    <row r="55" spans="1:3">
      <c r="A55" t="s">
        <v>2938</v>
      </c>
      <c r="B55" t="s">
        <v>2928</v>
      </c>
      <c r="C55" t="s">
        <v>41</v>
      </c>
    </row>
    <row r="56" spans="1:3">
      <c r="A56" t="s">
        <v>2939</v>
      </c>
      <c r="B56" t="s">
        <v>2870</v>
      </c>
      <c r="C56" t="s">
        <v>39</v>
      </c>
    </row>
    <row r="57" spans="1:3">
      <c r="A57" t="s">
        <v>2940</v>
      </c>
      <c r="B57" t="s">
        <v>2870</v>
      </c>
      <c r="C57" t="s">
        <v>39</v>
      </c>
    </row>
    <row r="58" spans="1:3">
      <c r="A58" t="s">
        <v>2941</v>
      </c>
      <c r="B58" t="s">
        <v>2942</v>
      </c>
      <c r="C58" t="s">
        <v>331</v>
      </c>
    </row>
    <row r="59" spans="1:3">
      <c r="A59" t="s">
        <v>2943</v>
      </c>
      <c r="B59" t="s">
        <v>2897</v>
      </c>
      <c r="C59" t="s">
        <v>47</v>
      </c>
    </row>
    <row r="60" spans="1:3">
      <c r="A60" t="s">
        <v>2944</v>
      </c>
      <c r="B60" t="s">
        <v>2908</v>
      </c>
      <c r="C60" t="s">
        <v>777</v>
      </c>
    </row>
    <row r="61" spans="1:3">
      <c r="A61" t="s">
        <v>2945</v>
      </c>
      <c r="B61" t="s">
        <v>2876</v>
      </c>
      <c r="C61" t="s">
        <v>44</v>
      </c>
    </row>
    <row r="62" spans="1:3">
      <c r="A62" t="s">
        <v>2946</v>
      </c>
      <c r="B62" t="s">
        <v>2947</v>
      </c>
      <c r="C62" t="s">
        <v>65</v>
      </c>
    </row>
    <row r="63" spans="1:3">
      <c r="A63" t="s">
        <v>2948</v>
      </c>
      <c r="B63" t="s">
        <v>2861</v>
      </c>
      <c r="C63" t="s">
        <v>67</v>
      </c>
    </row>
    <row r="64" spans="1:3">
      <c r="A64" t="s">
        <v>2949</v>
      </c>
      <c r="B64" t="s">
        <v>2950</v>
      </c>
      <c r="C64" t="s">
        <v>39</v>
      </c>
    </row>
    <row r="65" spans="1:3">
      <c r="A65" t="s">
        <v>2951</v>
      </c>
      <c r="B65" t="s">
        <v>2952</v>
      </c>
      <c r="C65" t="s">
        <v>44</v>
      </c>
    </row>
    <row r="66" spans="1:3">
      <c r="A66" t="s">
        <v>2953</v>
      </c>
      <c r="B66" t="s">
        <v>2934</v>
      </c>
      <c r="C66" t="s">
        <v>67</v>
      </c>
    </row>
    <row r="67" spans="1:3">
      <c r="A67" t="s">
        <v>2954</v>
      </c>
      <c r="B67" t="s">
        <v>2934</v>
      </c>
      <c r="C67" t="s">
        <v>67</v>
      </c>
    </row>
    <row r="68" spans="1:3">
      <c r="A68" t="s">
        <v>2955</v>
      </c>
      <c r="B68" t="s">
        <v>2862</v>
      </c>
      <c r="C68" t="s">
        <v>67</v>
      </c>
    </row>
    <row r="69" spans="1:3">
      <c r="A69" t="s">
        <v>2956</v>
      </c>
      <c r="B69" t="s">
        <v>2957</v>
      </c>
      <c r="C69" t="s">
        <v>39</v>
      </c>
    </row>
    <row r="70" spans="1:3">
      <c r="A70" t="s">
        <v>2958</v>
      </c>
      <c r="B70" t="s">
        <v>2870</v>
      </c>
      <c r="C70" t="s">
        <v>39</v>
      </c>
    </row>
    <row r="71" spans="1:3">
      <c r="A71" t="s">
        <v>2959</v>
      </c>
      <c r="B71" t="s">
        <v>2960</v>
      </c>
      <c r="C71" t="s">
        <v>157</v>
      </c>
    </row>
    <row r="72" spans="1:3">
      <c r="A72" t="s">
        <v>2961</v>
      </c>
      <c r="B72" t="s">
        <v>2908</v>
      </c>
      <c r="C72" t="s">
        <v>777</v>
      </c>
    </row>
    <row r="73" spans="1:3">
      <c r="A73" t="s">
        <v>2962</v>
      </c>
      <c r="B73" t="s">
        <v>2942</v>
      </c>
      <c r="C73" t="s">
        <v>331</v>
      </c>
    </row>
    <row r="74" spans="1:3">
      <c r="A74" t="s">
        <v>2963</v>
      </c>
      <c r="B74" t="s">
        <v>2964</v>
      </c>
      <c r="C74" t="s">
        <v>157</v>
      </c>
    </row>
    <row r="75" spans="1:3">
      <c r="A75" t="s">
        <v>2965</v>
      </c>
      <c r="B75" t="s">
        <v>2966</v>
      </c>
      <c r="C75" t="s">
        <v>39</v>
      </c>
    </row>
    <row r="76" spans="1:3">
      <c r="A76" t="s">
        <v>2967</v>
      </c>
      <c r="B76" t="s">
        <v>2968</v>
      </c>
      <c r="C76" t="s">
        <v>67</v>
      </c>
    </row>
    <row r="77" spans="1:3">
      <c r="A77" t="s">
        <v>2969</v>
      </c>
      <c r="B77" t="s">
        <v>2942</v>
      </c>
      <c r="C77" t="s">
        <v>331</v>
      </c>
    </row>
    <row r="78" spans="1:3">
      <c r="A78" t="s">
        <v>2970</v>
      </c>
      <c r="B78" t="s">
        <v>2971</v>
      </c>
      <c r="C78" t="s">
        <v>47</v>
      </c>
    </row>
    <row r="79" spans="1:3">
      <c r="A79" t="s">
        <v>2972</v>
      </c>
      <c r="B79" t="s">
        <v>2932</v>
      </c>
      <c r="C79" t="s">
        <v>65</v>
      </c>
    </row>
    <row r="80" spans="1:3">
      <c r="A80" t="s">
        <v>2973</v>
      </c>
      <c r="B80" t="s">
        <v>2974</v>
      </c>
      <c r="C80" t="s">
        <v>157</v>
      </c>
    </row>
    <row r="81" spans="1:3">
      <c r="A81" t="s">
        <v>2975</v>
      </c>
      <c r="B81" t="s">
        <v>2976</v>
      </c>
      <c r="C81" t="s">
        <v>136</v>
      </c>
    </row>
    <row r="82" spans="1:3">
      <c r="A82" t="s">
        <v>2977</v>
      </c>
      <c r="B82" t="s">
        <v>2928</v>
      </c>
      <c r="C82" t="s">
        <v>41</v>
      </c>
    </row>
  </sheetData>
  <phoneticPr fontId="5" type="noConversion"/>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AD54-C138-4A25-A7CE-C4545F176612}">
  <dimension ref="A1:C39"/>
  <sheetViews>
    <sheetView workbookViewId="0">
      <selection activeCell="F9" sqref="F9"/>
    </sheetView>
  </sheetViews>
  <sheetFormatPr defaultRowHeight="14.45"/>
  <cols>
    <col min="1" max="1" width="98.5703125" bestFit="1" customWidth="1"/>
    <col min="2" max="2" width="37.28515625" bestFit="1" customWidth="1"/>
    <col min="3" max="3" width="10" bestFit="1" customWidth="1"/>
  </cols>
  <sheetData>
    <row r="1" spans="1:3">
      <c r="A1" t="s">
        <v>2851</v>
      </c>
      <c r="B1" t="s">
        <v>2852</v>
      </c>
      <c r="C1" t="s">
        <v>1</v>
      </c>
    </row>
    <row r="2" spans="1:3">
      <c r="A2" t="s">
        <v>2978</v>
      </c>
      <c r="B2" t="s">
        <v>2854</v>
      </c>
      <c r="C2" t="s">
        <v>65</v>
      </c>
    </row>
    <row r="3" spans="1:3">
      <c r="A3" t="s">
        <v>2979</v>
      </c>
      <c r="B3" s="6" t="s">
        <v>2932</v>
      </c>
      <c r="C3" t="s">
        <v>65</v>
      </c>
    </row>
    <row r="4" spans="1:3">
      <c r="A4" t="s">
        <v>2980</v>
      </c>
      <c r="B4" t="s">
        <v>2981</v>
      </c>
      <c r="C4" t="s">
        <v>33</v>
      </c>
    </row>
    <row r="5" spans="1:3">
      <c r="A5" t="s">
        <v>2982</v>
      </c>
      <c r="B5" t="s">
        <v>2983</v>
      </c>
      <c r="C5" t="s">
        <v>61</v>
      </c>
    </row>
    <row r="6" spans="1:3">
      <c r="A6" t="s">
        <v>2984</v>
      </c>
      <c r="B6" t="s">
        <v>2861</v>
      </c>
      <c r="C6" t="s">
        <v>67</v>
      </c>
    </row>
    <row r="7" spans="1:3">
      <c r="A7" t="s">
        <v>2985</v>
      </c>
      <c r="B7" s="6" t="s">
        <v>2986</v>
      </c>
      <c r="C7" t="s">
        <v>67</v>
      </c>
    </row>
    <row r="8" spans="1:3">
      <c r="A8" t="s">
        <v>2987</v>
      </c>
      <c r="B8" t="s">
        <v>2988</v>
      </c>
      <c r="C8" t="s">
        <v>39</v>
      </c>
    </row>
    <row r="9" spans="1:3">
      <c r="A9" t="s">
        <v>2989</v>
      </c>
      <c r="B9" s="6" t="s">
        <v>2866</v>
      </c>
      <c r="C9" t="s">
        <v>39</v>
      </c>
    </row>
    <row r="10" spans="1:3">
      <c r="A10" t="s">
        <v>2989</v>
      </c>
      <c r="B10" s="6" t="s">
        <v>2990</v>
      </c>
      <c r="C10" t="s">
        <v>39</v>
      </c>
    </row>
    <row r="11" spans="1:3">
      <c r="A11" t="s">
        <v>2991</v>
      </c>
      <c r="B11" t="s">
        <v>2992</v>
      </c>
      <c r="C11" t="s">
        <v>39</v>
      </c>
    </row>
    <row r="12" spans="1:3">
      <c r="A12" t="s">
        <v>2985</v>
      </c>
      <c r="B12" s="6" t="s">
        <v>2993</v>
      </c>
      <c r="C12" t="s">
        <v>39</v>
      </c>
    </row>
    <row r="13" spans="1:3">
      <c r="A13" t="s">
        <v>2994</v>
      </c>
      <c r="B13" t="s">
        <v>2995</v>
      </c>
      <c r="C13" t="s">
        <v>39</v>
      </c>
    </row>
    <row r="14" spans="1:3">
      <c r="A14" t="s">
        <v>2996</v>
      </c>
      <c r="B14" t="s">
        <v>2930</v>
      </c>
      <c r="C14" t="s">
        <v>136</v>
      </c>
    </row>
    <row r="15" spans="1:3">
      <c r="A15" t="s">
        <v>2997</v>
      </c>
      <c r="B15" t="s">
        <v>2998</v>
      </c>
      <c r="C15" t="s">
        <v>44</v>
      </c>
    </row>
    <row r="16" spans="1:3">
      <c r="A16" t="s">
        <v>2999</v>
      </c>
      <c r="B16" t="s">
        <v>3000</v>
      </c>
      <c r="C16" t="s">
        <v>44</v>
      </c>
    </row>
    <row r="17" spans="1:3">
      <c r="A17" t="s">
        <v>3001</v>
      </c>
      <c r="B17" t="s">
        <v>2873</v>
      </c>
      <c r="C17" t="s">
        <v>44</v>
      </c>
    </row>
    <row r="18" spans="1:3">
      <c r="A18" t="s">
        <v>3002</v>
      </c>
      <c r="B18" t="s">
        <v>3003</v>
      </c>
      <c r="C18" t="s">
        <v>44</v>
      </c>
    </row>
    <row r="19" spans="1:3" ht="28.9">
      <c r="A19" t="s">
        <v>2985</v>
      </c>
      <c r="B19" s="6" t="s">
        <v>3004</v>
      </c>
      <c r="C19" t="s">
        <v>44</v>
      </c>
    </row>
    <row r="20" spans="1:3">
      <c r="A20" t="s">
        <v>3005</v>
      </c>
      <c r="B20" t="s">
        <v>2952</v>
      </c>
      <c r="C20" t="s">
        <v>44</v>
      </c>
    </row>
    <row r="21" spans="1:3">
      <c r="A21" t="s">
        <v>3006</v>
      </c>
      <c r="B21" t="s">
        <v>3007</v>
      </c>
      <c r="C21" t="s">
        <v>331</v>
      </c>
    </row>
    <row r="22" spans="1:3">
      <c r="A22" t="s">
        <v>3008</v>
      </c>
      <c r="B22" s="6" t="s">
        <v>2884</v>
      </c>
      <c r="C22" t="s">
        <v>35</v>
      </c>
    </row>
    <row r="23" spans="1:3">
      <c r="A23" t="s">
        <v>3008</v>
      </c>
      <c r="B23" s="6" t="s">
        <v>3009</v>
      </c>
      <c r="C23" t="s">
        <v>35</v>
      </c>
    </row>
    <row r="24" spans="1:3">
      <c r="A24" t="s">
        <v>3010</v>
      </c>
      <c r="B24" t="s">
        <v>3011</v>
      </c>
      <c r="C24" t="s">
        <v>35</v>
      </c>
    </row>
    <row r="25" spans="1:3">
      <c r="A25" t="s">
        <v>3012</v>
      </c>
      <c r="B25" t="s">
        <v>3013</v>
      </c>
      <c r="C25" t="s">
        <v>35</v>
      </c>
    </row>
    <row r="26" spans="1:3">
      <c r="A26" t="s">
        <v>3014</v>
      </c>
      <c r="B26" t="s">
        <v>2920</v>
      </c>
      <c r="C26" t="s">
        <v>35</v>
      </c>
    </row>
    <row r="27" spans="1:3">
      <c r="A27" t="s">
        <v>3015</v>
      </c>
      <c r="B27" t="s">
        <v>3016</v>
      </c>
      <c r="C27" t="s">
        <v>35</v>
      </c>
    </row>
    <row r="28" spans="1:3">
      <c r="A28" t="s">
        <v>3017</v>
      </c>
      <c r="B28" t="s">
        <v>3018</v>
      </c>
      <c r="C28" t="s">
        <v>3019</v>
      </c>
    </row>
    <row r="29" spans="1:3">
      <c r="A29" t="s">
        <v>3020</v>
      </c>
      <c r="B29" t="s">
        <v>3021</v>
      </c>
      <c r="C29" t="s">
        <v>47</v>
      </c>
    </row>
    <row r="30" spans="1:3">
      <c r="A30" t="s">
        <v>2979</v>
      </c>
      <c r="B30" s="6" t="s">
        <v>3022</v>
      </c>
      <c r="C30" t="s">
        <v>47</v>
      </c>
    </row>
    <row r="31" spans="1:3">
      <c r="A31" t="s">
        <v>3023</v>
      </c>
      <c r="B31" t="s">
        <v>3024</v>
      </c>
      <c r="C31" t="s">
        <v>47</v>
      </c>
    </row>
    <row r="32" spans="1:3">
      <c r="A32" t="s">
        <v>3025</v>
      </c>
      <c r="B32" t="s">
        <v>3026</v>
      </c>
      <c r="C32" t="s">
        <v>41</v>
      </c>
    </row>
    <row r="33" spans="1:3">
      <c r="A33" t="s">
        <v>2979</v>
      </c>
      <c r="B33" s="6" t="s">
        <v>2928</v>
      </c>
      <c r="C33" t="s">
        <v>41</v>
      </c>
    </row>
    <row r="34" spans="1:3">
      <c r="A34" t="s">
        <v>3027</v>
      </c>
      <c r="B34" t="s">
        <v>3028</v>
      </c>
      <c r="C34" t="s">
        <v>80</v>
      </c>
    </row>
    <row r="35" spans="1:3">
      <c r="A35" t="s">
        <v>3029</v>
      </c>
      <c r="B35" t="s">
        <v>2908</v>
      </c>
      <c r="C35" t="s">
        <v>777</v>
      </c>
    </row>
    <row r="36" spans="1:3" ht="28.9">
      <c r="A36" t="s">
        <v>3008</v>
      </c>
      <c r="B36" s="6" t="s">
        <v>3030</v>
      </c>
      <c r="C36" t="s">
        <v>157</v>
      </c>
    </row>
    <row r="37" spans="1:3">
      <c r="A37" t="s">
        <v>3031</v>
      </c>
      <c r="B37" t="s">
        <v>2911</v>
      </c>
      <c r="C37" t="s">
        <v>157</v>
      </c>
    </row>
    <row r="38" spans="1:3">
      <c r="A38" t="s">
        <v>2989</v>
      </c>
      <c r="B38" t="s">
        <v>3032</v>
      </c>
      <c r="C38" t="s">
        <v>156</v>
      </c>
    </row>
    <row r="39" spans="1:3">
      <c r="A39" t="s">
        <v>3033</v>
      </c>
      <c r="B39" t="s">
        <v>2913</v>
      </c>
      <c r="C39" t="s">
        <v>156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F567-51FB-4A97-A9AB-920E30C4DF16}">
  <dimension ref="A1:C138"/>
  <sheetViews>
    <sheetView workbookViewId="0">
      <selection activeCell="F15" sqref="F15"/>
    </sheetView>
  </sheetViews>
  <sheetFormatPr defaultRowHeight="14.45"/>
  <cols>
    <col min="1" max="1" width="47.7109375" bestFit="1" customWidth="1"/>
    <col min="2" max="2" width="37.28515625" bestFit="1" customWidth="1"/>
    <col min="3" max="3" width="10" bestFit="1" customWidth="1"/>
  </cols>
  <sheetData>
    <row r="1" spans="1:3">
      <c r="A1" t="s">
        <v>2851</v>
      </c>
      <c r="B1" t="s">
        <v>2852</v>
      </c>
      <c r="C1" t="s">
        <v>1</v>
      </c>
    </row>
    <row r="2" spans="1:3">
      <c r="A2" t="s">
        <v>2982</v>
      </c>
      <c r="B2" t="s">
        <v>3034</v>
      </c>
      <c r="C2" t="s">
        <v>33</v>
      </c>
    </row>
    <row r="3" spans="1:3">
      <c r="A3" t="s">
        <v>3035</v>
      </c>
      <c r="B3" t="s">
        <v>3036</v>
      </c>
      <c r="C3" t="s">
        <v>61</v>
      </c>
    </row>
    <row r="4" spans="1:3">
      <c r="A4" t="s">
        <v>3037</v>
      </c>
      <c r="B4" t="s">
        <v>3038</v>
      </c>
      <c r="C4" t="s">
        <v>39</v>
      </c>
    </row>
    <row r="5" spans="1:3">
      <c r="A5" t="s">
        <v>3039</v>
      </c>
      <c r="B5" t="s">
        <v>3040</v>
      </c>
      <c r="C5" t="s">
        <v>39</v>
      </c>
    </row>
    <row r="6" spans="1:3">
      <c r="A6" t="s">
        <v>3001</v>
      </c>
      <c r="B6" t="s">
        <v>3041</v>
      </c>
      <c r="C6" t="s">
        <v>44</v>
      </c>
    </row>
    <row r="7" spans="1:3">
      <c r="A7" t="s">
        <v>3042</v>
      </c>
      <c r="B7" s="6" t="s">
        <v>3043</v>
      </c>
      <c r="C7" t="s">
        <v>44</v>
      </c>
    </row>
    <row r="8" spans="1:3">
      <c r="A8" t="s">
        <v>3042</v>
      </c>
      <c r="B8" s="6" t="s">
        <v>3044</v>
      </c>
      <c r="C8" t="s">
        <v>44</v>
      </c>
    </row>
    <row r="9" spans="1:3">
      <c r="A9" t="s">
        <v>3045</v>
      </c>
      <c r="B9" t="s">
        <v>3043</v>
      </c>
      <c r="C9" t="s">
        <v>44</v>
      </c>
    </row>
    <row r="10" spans="1:3">
      <c r="A10" t="s">
        <v>3046</v>
      </c>
      <c r="B10" t="s">
        <v>3041</v>
      </c>
      <c r="C10" t="s">
        <v>44</v>
      </c>
    </row>
    <row r="11" spans="1:3">
      <c r="A11" t="s">
        <v>3047</v>
      </c>
      <c r="B11" t="s">
        <v>3048</v>
      </c>
      <c r="C11" t="s">
        <v>44</v>
      </c>
    </row>
    <row r="12" spans="1:3">
      <c r="A12" t="s">
        <v>3049</v>
      </c>
      <c r="B12" t="s">
        <v>2873</v>
      </c>
      <c r="C12" t="s">
        <v>44</v>
      </c>
    </row>
    <row r="13" spans="1:3">
      <c r="A13" t="s">
        <v>2904</v>
      </c>
      <c r="B13" t="s">
        <v>3041</v>
      </c>
      <c r="C13" t="s">
        <v>44</v>
      </c>
    </row>
    <row r="14" spans="1:3">
      <c r="A14" t="s">
        <v>3050</v>
      </c>
      <c r="B14" t="s">
        <v>3051</v>
      </c>
      <c r="C14" t="s">
        <v>35</v>
      </c>
    </row>
    <row r="15" spans="1:3">
      <c r="A15" t="s">
        <v>3052</v>
      </c>
      <c r="B15" t="s">
        <v>3053</v>
      </c>
      <c r="C15" t="s">
        <v>35</v>
      </c>
    </row>
    <row r="16" spans="1:3">
      <c r="A16" t="s">
        <v>3054</v>
      </c>
      <c r="B16" t="s">
        <v>3055</v>
      </c>
      <c r="C16" t="s">
        <v>35</v>
      </c>
    </row>
    <row r="17" spans="1:3">
      <c r="A17" t="s">
        <v>2982</v>
      </c>
      <c r="B17" t="s">
        <v>3056</v>
      </c>
      <c r="C17" t="s">
        <v>35</v>
      </c>
    </row>
    <row r="18" spans="1:3">
      <c r="A18" t="s">
        <v>3057</v>
      </c>
      <c r="B18" t="s">
        <v>3058</v>
      </c>
      <c r="C18" t="s">
        <v>113</v>
      </c>
    </row>
    <row r="19" spans="1:3">
      <c r="A19" t="s">
        <v>3042</v>
      </c>
      <c r="B19" s="6" t="s">
        <v>3059</v>
      </c>
      <c r="C19" t="s">
        <v>80</v>
      </c>
    </row>
    <row r="20" spans="1:3">
      <c r="A20" t="s">
        <v>3060</v>
      </c>
      <c r="B20" t="s">
        <v>3061</v>
      </c>
      <c r="C20" t="s">
        <v>80</v>
      </c>
    </row>
    <row r="21" spans="1:3">
      <c r="A21" t="s">
        <v>3062</v>
      </c>
      <c r="B21" t="s">
        <v>3063</v>
      </c>
      <c r="C21" t="s">
        <v>80</v>
      </c>
    </row>
    <row r="22" spans="1:3">
      <c r="A22" t="s">
        <v>3064</v>
      </c>
      <c r="B22" t="s">
        <v>3028</v>
      </c>
      <c r="C22" t="s">
        <v>80</v>
      </c>
    </row>
    <row r="23" spans="1:3">
      <c r="A23" t="s">
        <v>3065</v>
      </c>
      <c r="B23" t="s">
        <v>3066</v>
      </c>
      <c r="C23" t="s">
        <v>777</v>
      </c>
    </row>
    <row r="24" spans="1:3">
      <c r="A24" t="s">
        <v>3067</v>
      </c>
      <c r="B24" t="s">
        <v>3068</v>
      </c>
      <c r="C24" t="s">
        <v>157</v>
      </c>
    </row>
    <row r="25" spans="1:3">
      <c r="A25" t="s">
        <v>3069</v>
      </c>
      <c r="B25" t="s">
        <v>3070</v>
      </c>
      <c r="C25" t="s">
        <v>157</v>
      </c>
    </row>
    <row r="26" spans="1:3">
      <c r="A26" t="s">
        <v>3071</v>
      </c>
      <c r="B26" t="s">
        <v>3072</v>
      </c>
    </row>
    <row r="27" spans="1:3">
      <c r="A27" t="s">
        <v>3073</v>
      </c>
      <c r="B27" t="s">
        <v>2520</v>
      </c>
      <c r="C27" t="s">
        <v>47</v>
      </c>
    </row>
    <row r="28" spans="1:3">
      <c r="A28" t="s">
        <v>3074</v>
      </c>
      <c r="B28" t="s">
        <v>2911</v>
      </c>
      <c r="C28" t="s">
        <v>157</v>
      </c>
    </row>
    <row r="29" spans="1:3">
      <c r="A29" t="s">
        <v>3075</v>
      </c>
      <c r="B29" t="s">
        <v>3076</v>
      </c>
      <c r="C29" t="s">
        <v>39</v>
      </c>
    </row>
    <row r="30" spans="1:3">
      <c r="A30" t="s">
        <v>2856</v>
      </c>
      <c r="B30" t="s">
        <v>3077</v>
      </c>
      <c r="C30" t="s">
        <v>33</v>
      </c>
    </row>
    <row r="31" spans="1:3">
      <c r="A31" t="s">
        <v>3078</v>
      </c>
      <c r="B31" t="s">
        <v>2861</v>
      </c>
      <c r="C31" t="s">
        <v>67</v>
      </c>
    </row>
    <row r="32" spans="1:3">
      <c r="A32" t="s">
        <v>2916</v>
      </c>
      <c r="B32" t="s">
        <v>3044</v>
      </c>
      <c r="C32" t="s">
        <v>44</v>
      </c>
    </row>
    <row r="33" spans="1:3">
      <c r="A33" t="s">
        <v>2875</v>
      </c>
      <c r="B33" t="s">
        <v>3044</v>
      </c>
      <c r="C33" t="s">
        <v>44</v>
      </c>
    </row>
    <row r="34" spans="1:3">
      <c r="A34" t="s">
        <v>3079</v>
      </c>
      <c r="B34" t="s">
        <v>3080</v>
      </c>
      <c r="C34" t="s">
        <v>44</v>
      </c>
    </row>
    <row r="35" spans="1:3">
      <c r="A35" t="s">
        <v>3081</v>
      </c>
      <c r="B35" t="s">
        <v>2901</v>
      </c>
      <c r="C35" t="s">
        <v>158</v>
      </c>
    </row>
    <row r="36" spans="1:3">
      <c r="A36" t="s">
        <v>3082</v>
      </c>
      <c r="B36" t="s">
        <v>3051</v>
      </c>
      <c r="C36" t="s">
        <v>35</v>
      </c>
    </row>
    <row r="37" spans="1:3">
      <c r="A37" t="s">
        <v>2909</v>
      </c>
      <c r="B37" t="s">
        <v>2908</v>
      </c>
      <c r="C37" t="s">
        <v>777</v>
      </c>
    </row>
    <row r="38" spans="1:3">
      <c r="A38" t="s">
        <v>2918</v>
      </c>
      <c r="B38" t="s">
        <v>2520</v>
      </c>
      <c r="C38" t="s">
        <v>47</v>
      </c>
    </row>
    <row r="39" spans="1:3">
      <c r="A39" t="s">
        <v>2925</v>
      </c>
      <c r="B39" t="s">
        <v>3083</v>
      </c>
      <c r="C39" t="s">
        <v>47</v>
      </c>
    </row>
    <row r="40" spans="1:3">
      <c r="A40" t="s">
        <v>3084</v>
      </c>
      <c r="B40" t="s">
        <v>2928</v>
      </c>
      <c r="C40" t="s">
        <v>41</v>
      </c>
    </row>
    <row r="41" spans="1:3">
      <c r="A41" t="s">
        <v>3085</v>
      </c>
      <c r="B41" t="s">
        <v>3086</v>
      </c>
      <c r="C41" t="s">
        <v>47</v>
      </c>
    </row>
    <row r="42" spans="1:3">
      <c r="A42" t="s">
        <v>3087</v>
      </c>
      <c r="B42" t="s">
        <v>2932</v>
      </c>
      <c r="C42" t="s">
        <v>65</v>
      </c>
    </row>
    <row r="43" spans="1:3">
      <c r="A43" t="s">
        <v>3088</v>
      </c>
      <c r="B43" t="s">
        <v>3077</v>
      </c>
      <c r="C43" t="s">
        <v>33</v>
      </c>
    </row>
    <row r="44" spans="1:3">
      <c r="A44" t="s">
        <v>2982</v>
      </c>
      <c r="B44" t="s">
        <v>3089</v>
      </c>
      <c r="C44" t="s">
        <v>39</v>
      </c>
    </row>
    <row r="45" spans="1:3">
      <c r="A45" t="s">
        <v>3090</v>
      </c>
      <c r="B45" t="s">
        <v>3091</v>
      </c>
      <c r="C45" t="s">
        <v>44</v>
      </c>
    </row>
    <row r="46" spans="1:3">
      <c r="A46" t="s">
        <v>3092</v>
      </c>
      <c r="B46" t="s">
        <v>2950</v>
      </c>
      <c r="C46" t="s">
        <v>39</v>
      </c>
    </row>
    <row r="47" spans="1:3">
      <c r="A47" t="s">
        <v>3093</v>
      </c>
      <c r="B47" t="s">
        <v>3051</v>
      </c>
      <c r="C47" t="s">
        <v>35</v>
      </c>
    </row>
    <row r="48" spans="1:3">
      <c r="A48" t="s">
        <v>3094</v>
      </c>
      <c r="B48" t="s">
        <v>3095</v>
      </c>
      <c r="C48" t="s">
        <v>157</v>
      </c>
    </row>
    <row r="49" spans="1:3">
      <c r="A49" t="s">
        <v>3096</v>
      </c>
      <c r="B49" t="s">
        <v>3044</v>
      </c>
      <c r="C49" t="s">
        <v>44</v>
      </c>
    </row>
    <row r="50" spans="1:3">
      <c r="A50" t="s">
        <v>3097</v>
      </c>
      <c r="B50" t="s">
        <v>3098</v>
      </c>
      <c r="C50" t="s">
        <v>35</v>
      </c>
    </row>
    <row r="51" spans="1:3">
      <c r="A51" t="s">
        <v>3099</v>
      </c>
      <c r="B51" t="s">
        <v>2520</v>
      </c>
      <c r="C51" t="s">
        <v>47</v>
      </c>
    </row>
    <row r="52" spans="1:3">
      <c r="A52" t="s">
        <v>3100</v>
      </c>
      <c r="B52" t="s">
        <v>3058</v>
      </c>
      <c r="C52" t="s">
        <v>113</v>
      </c>
    </row>
    <row r="53" spans="1:3">
      <c r="A53" t="s">
        <v>3101</v>
      </c>
      <c r="B53" t="s">
        <v>3102</v>
      </c>
      <c r="C53" t="s">
        <v>33</v>
      </c>
    </row>
    <row r="54" spans="1:3">
      <c r="A54" t="s">
        <v>3103</v>
      </c>
      <c r="B54" t="s">
        <v>3044</v>
      </c>
      <c r="C54" t="s">
        <v>44</v>
      </c>
    </row>
    <row r="55" spans="1:3">
      <c r="A55" t="s">
        <v>3104</v>
      </c>
      <c r="B55" t="s">
        <v>3105</v>
      </c>
      <c r="C55" t="s">
        <v>41</v>
      </c>
    </row>
    <row r="56" spans="1:3">
      <c r="A56" t="s">
        <v>3106</v>
      </c>
      <c r="B56" t="s">
        <v>2930</v>
      </c>
      <c r="C56" t="s">
        <v>136</v>
      </c>
    </row>
    <row r="57" spans="1:3">
      <c r="A57" t="s">
        <v>3107</v>
      </c>
      <c r="B57" t="s">
        <v>3108</v>
      </c>
      <c r="C57" t="s">
        <v>67</v>
      </c>
    </row>
    <row r="58" spans="1:3">
      <c r="A58" t="s">
        <v>3109</v>
      </c>
      <c r="B58" t="s">
        <v>2930</v>
      </c>
      <c r="C58" t="s">
        <v>136</v>
      </c>
    </row>
    <row r="59" spans="1:3">
      <c r="A59" t="s">
        <v>3109</v>
      </c>
      <c r="B59" t="s">
        <v>3110</v>
      </c>
      <c r="C59" t="s">
        <v>67</v>
      </c>
    </row>
    <row r="60" spans="1:3">
      <c r="A60" t="s">
        <v>3111</v>
      </c>
      <c r="B60" t="s">
        <v>3056</v>
      </c>
      <c r="C60" t="s">
        <v>35</v>
      </c>
    </row>
    <row r="61" spans="1:3">
      <c r="A61" t="s">
        <v>3112</v>
      </c>
      <c r="B61" t="s">
        <v>3098</v>
      </c>
      <c r="C61" t="s">
        <v>35</v>
      </c>
    </row>
    <row r="62" spans="1:3">
      <c r="A62" t="s">
        <v>3113</v>
      </c>
      <c r="B62" t="s">
        <v>3114</v>
      </c>
      <c r="C62" t="s">
        <v>33</v>
      </c>
    </row>
    <row r="63" spans="1:3">
      <c r="A63" t="s">
        <v>3115</v>
      </c>
      <c r="B63" t="s">
        <v>3070</v>
      </c>
      <c r="C63" t="s">
        <v>157</v>
      </c>
    </row>
    <row r="64" spans="1:3">
      <c r="A64" t="s">
        <v>3116</v>
      </c>
      <c r="B64" t="s">
        <v>3117</v>
      </c>
      <c r="C64" t="s">
        <v>35</v>
      </c>
    </row>
    <row r="65" spans="1:3">
      <c r="A65" t="s">
        <v>3118</v>
      </c>
      <c r="B65" t="s">
        <v>3119</v>
      </c>
      <c r="C65" t="s">
        <v>62</v>
      </c>
    </row>
    <row r="66" spans="1:3">
      <c r="A66" t="s">
        <v>2982</v>
      </c>
      <c r="B66" t="s">
        <v>3120</v>
      </c>
      <c r="C66" t="s">
        <v>35</v>
      </c>
    </row>
    <row r="67" spans="1:3">
      <c r="A67" t="s">
        <v>3121</v>
      </c>
      <c r="B67" t="s">
        <v>2903</v>
      </c>
      <c r="C67" t="s">
        <v>80</v>
      </c>
    </row>
    <row r="68" spans="1:3">
      <c r="A68" t="s">
        <v>3122</v>
      </c>
      <c r="B68" t="s">
        <v>3123</v>
      </c>
      <c r="C68" t="s">
        <v>35</v>
      </c>
    </row>
    <row r="69" spans="1:3">
      <c r="A69" t="s">
        <v>3124</v>
      </c>
      <c r="B69" t="s">
        <v>3051</v>
      </c>
      <c r="C69" t="s">
        <v>35</v>
      </c>
    </row>
    <row r="70" spans="1:3">
      <c r="A70" t="s">
        <v>3125</v>
      </c>
      <c r="B70" t="s">
        <v>3051</v>
      </c>
      <c r="C70" t="s">
        <v>35</v>
      </c>
    </row>
    <row r="71" spans="1:3">
      <c r="A71" t="s">
        <v>3126</v>
      </c>
      <c r="B71" t="s">
        <v>2928</v>
      </c>
      <c r="C71" t="s">
        <v>41</v>
      </c>
    </row>
    <row r="72" spans="1:3">
      <c r="A72" t="s">
        <v>3127</v>
      </c>
      <c r="B72" t="s">
        <v>3077</v>
      </c>
      <c r="C72" t="s">
        <v>33</v>
      </c>
    </row>
    <row r="73" spans="1:3">
      <c r="A73" t="s">
        <v>3128</v>
      </c>
      <c r="B73" t="s">
        <v>3129</v>
      </c>
      <c r="C73" t="s">
        <v>35</v>
      </c>
    </row>
    <row r="74" spans="1:3">
      <c r="A74" t="s">
        <v>3130</v>
      </c>
      <c r="B74" t="s">
        <v>2854</v>
      </c>
      <c r="C74" t="s">
        <v>65</v>
      </c>
    </row>
    <row r="75" spans="1:3">
      <c r="A75" t="s">
        <v>3131</v>
      </c>
      <c r="B75" t="s">
        <v>3132</v>
      </c>
      <c r="C75" t="s">
        <v>157</v>
      </c>
    </row>
    <row r="76" spans="1:3">
      <c r="A76" t="s">
        <v>3133</v>
      </c>
      <c r="B76" t="s">
        <v>3134</v>
      </c>
      <c r="C76" t="s">
        <v>47</v>
      </c>
    </row>
    <row r="77" spans="1:3">
      <c r="A77" t="s">
        <v>3135</v>
      </c>
      <c r="B77" t="s">
        <v>2968</v>
      </c>
      <c r="C77" t="s">
        <v>67</v>
      </c>
    </row>
    <row r="78" spans="1:3">
      <c r="A78" t="s">
        <v>3136</v>
      </c>
      <c r="B78" t="s">
        <v>2859</v>
      </c>
      <c r="C78" t="s">
        <v>61</v>
      </c>
    </row>
    <row r="79" spans="1:3">
      <c r="A79" t="s">
        <v>3137</v>
      </c>
      <c r="B79" t="s">
        <v>3138</v>
      </c>
      <c r="C79" t="s">
        <v>35</v>
      </c>
    </row>
    <row r="80" spans="1:3">
      <c r="A80" t="s">
        <v>3139</v>
      </c>
      <c r="B80" t="s">
        <v>3140</v>
      </c>
      <c r="C80" t="s">
        <v>44</v>
      </c>
    </row>
    <row r="81" spans="1:3">
      <c r="A81" t="s">
        <v>3141</v>
      </c>
      <c r="B81" t="s">
        <v>3142</v>
      </c>
      <c r="C81" t="s">
        <v>35</v>
      </c>
    </row>
    <row r="82" spans="1:3">
      <c r="A82" t="s">
        <v>3143</v>
      </c>
      <c r="B82" t="s">
        <v>3144</v>
      </c>
      <c r="C82" t="s">
        <v>39</v>
      </c>
    </row>
    <row r="83" spans="1:3">
      <c r="A83" t="s">
        <v>3145</v>
      </c>
      <c r="B83" t="s">
        <v>3117</v>
      </c>
      <c r="C83" t="s">
        <v>35</v>
      </c>
    </row>
    <row r="84" spans="1:3">
      <c r="A84" t="s">
        <v>2982</v>
      </c>
      <c r="B84" t="s">
        <v>3120</v>
      </c>
      <c r="C84" t="s">
        <v>35</v>
      </c>
    </row>
    <row r="85" spans="1:3">
      <c r="A85" t="s">
        <v>3146</v>
      </c>
      <c r="B85" t="s">
        <v>3119</v>
      </c>
      <c r="C85" t="s">
        <v>62</v>
      </c>
    </row>
    <row r="86" spans="1:3">
      <c r="A86" t="s">
        <v>3147</v>
      </c>
      <c r="B86" t="s">
        <v>3148</v>
      </c>
      <c r="C86" t="s">
        <v>44</v>
      </c>
    </row>
    <row r="87" spans="1:3">
      <c r="A87" t="s">
        <v>3149</v>
      </c>
      <c r="B87" t="s">
        <v>3044</v>
      </c>
      <c r="C87" t="s">
        <v>44</v>
      </c>
    </row>
    <row r="88" spans="1:3">
      <c r="A88" t="s">
        <v>3150</v>
      </c>
      <c r="B88" t="s">
        <v>2520</v>
      </c>
      <c r="C88" t="s">
        <v>47</v>
      </c>
    </row>
    <row r="89" spans="1:3">
      <c r="A89" t="s">
        <v>3151</v>
      </c>
      <c r="B89" t="s">
        <v>3152</v>
      </c>
      <c r="C89" t="s">
        <v>44</v>
      </c>
    </row>
    <row r="90" spans="1:3">
      <c r="A90" t="s">
        <v>2982</v>
      </c>
      <c r="B90" t="s">
        <v>3108</v>
      </c>
      <c r="C90" t="s">
        <v>67</v>
      </c>
    </row>
    <row r="91" spans="1:3">
      <c r="A91" t="s">
        <v>3113</v>
      </c>
      <c r="B91" t="s">
        <v>3153</v>
      </c>
      <c r="C91" t="s">
        <v>44</v>
      </c>
    </row>
    <row r="92" spans="1:3">
      <c r="A92" t="s">
        <v>3154</v>
      </c>
      <c r="B92" t="s">
        <v>2911</v>
      </c>
      <c r="C92" t="s">
        <v>157</v>
      </c>
    </row>
    <row r="93" spans="1:3">
      <c r="A93" t="s">
        <v>3116</v>
      </c>
      <c r="B93" t="s">
        <v>3155</v>
      </c>
      <c r="C93" t="s">
        <v>44</v>
      </c>
    </row>
    <row r="94" spans="1:3">
      <c r="A94" t="s">
        <v>3156</v>
      </c>
      <c r="B94" t="s">
        <v>2957</v>
      </c>
      <c r="C94" t="s">
        <v>39</v>
      </c>
    </row>
    <row r="95" spans="1:3">
      <c r="A95" t="s">
        <v>3157</v>
      </c>
      <c r="B95" t="s">
        <v>3158</v>
      </c>
      <c r="C95" t="s">
        <v>47</v>
      </c>
    </row>
    <row r="96" spans="1:3">
      <c r="A96" t="s">
        <v>3159</v>
      </c>
      <c r="B96" t="s">
        <v>2866</v>
      </c>
      <c r="C96" t="s">
        <v>39</v>
      </c>
    </row>
    <row r="97" spans="1:3">
      <c r="A97" t="s">
        <v>3160</v>
      </c>
      <c r="B97" t="s">
        <v>2911</v>
      </c>
      <c r="C97" t="s">
        <v>157</v>
      </c>
    </row>
    <row r="98" spans="1:3">
      <c r="A98" t="s">
        <v>3161</v>
      </c>
      <c r="B98" t="s">
        <v>3105</v>
      </c>
      <c r="C98" t="s">
        <v>41</v>
      </c>
    </row>
    <row r="99" spans="1:3">
      <c r="A99" t="s">
        <v>3078</v>
      </c>
      <c r="B99" s="6" t="s">
        <v>3162</v>
      </c>
      <c r="C99" t="s">
        <v>39</v>
      </c>
    </row>
    <row r="100" spans="1:3">
      <c r="A100" t="s">
        <v>3078</v>
      </c>
      <c r="B100" s="6" t="s">
        <v>3163</v>
      </c>
      <c r="C100" t="s">
        <v>39</v>
      </c>
    </row>
    <row r="101" spans="1:3">
      <c r="A101" t="s">
        <v>3078</v>
      </c>
      <c r="B101" s="6" t="s">
        <v>2866</v>
      </c>
      <c r="C101" t="s">
        <v>39</v>
      </c>
    </row>
    <row r="102" spans="1:3">
      <c r="A102" t="s">
        <v>3078</v>
      </c>
      <c r="B102" s="6" t="s">
        <v>3051</v>
      </c>
      <c r="C102" t="s">
        <v>35</v>
      </c>
    </row>
    <row r="103" spans="1:3">
      <c r="A103" t="s">
        <v>3164</v>
      </c>
      <c r="B103" t="s">
        <v>3123</v>
      </c>
      <c r="C103" t="s">
        <v>35</v>
      </c>
    </row>
    <row r="104" spans="1:3">
      <c r="A104" t="s">
        <v>3165</v>
      </c>
      <c r="B104" t="s">
        <v>2854</v>
      </c>
      <c r="C104" t="s">
        <v>65</v>
      </c>
    </row>
    <row r="105" spans="1:3">
      <c r="A105" t="s">
        <v>3113</v>
      </c>
      <c r="B105" t="s">
        <v>3153</v>
      </c>
      <c r="C105" t="s">
        <v>44</v>
      </c>
    </row>
    <row r="106" spans="1:3">
      <c r="A106" t="s">
        <v>3166</v>
      </c>
      <c r="B106" t="s">
        <v>2952</v>
      </c>
      <c r="C106" t="s">
        <v>44</v>
      </c>
    </row>
    <row r="107" spans="1:3">
      <c r="A107" t="s">
        <v>3167</v>
      </c>
      <c r="B107" t="s">
        <v>3168</v>
      </c>
      <c r="C107" t="s">
        <v>39</v>
      </c>
    </row>
    <row r="108" spans="1:3">
      <c r="A108" t="s">
        <v>3169</v>
      </c>
      <c r="B108" t="s">
        <v>2866</v>
      </c>
      <c r="C108" t="s">
        <v>39</v>
      </c>
    </row>
    <row r="109" spans="1:3">
      <c r="A109" t="s">
        <v>3170</v>
      </c>
      <c r="B109" t="s">
        <v>2866</v>
      </c>
      <c r="C109" t="s">
        <v>39</v>
      </c>
    </row>
    <row r="110" spans="1:3">
      <c r="A110" t="s">
        <v>3171</v>
      </c>
      <c r="B110" t="s">
        <v>3172</v>
      </c>
      <c r="C110" t="s">
        <v>44</v>
      </c>
    </row>
    <row r="111" spans="1:3">
      <c r="A111" t="s">
        <v>3173</v>
      </c>
      <c r="B111" t="s">
        <v>2957</v>
      </c>
      <c r="C111" t="s">
        <v>39</v>
      </c>
    </row>
    <row r="112" spans="1:3">
      <c r="A112" t="s">
        <v>3174</v>
      </c>
      <c r="B112" t="s">
        <v>3068</v>
      </c>
      <c r="C112" t="s">
        <v>157</v>
      </c>
    </row>
    <row r="113" spans="1:3">
      <c r="A113" t="s">
        <v>3175</v>
      </c>
      <c r="B113" t="s">
        <v>3176</v>
      </c>
      <c r="C113" t="s">
        <v>39</v>
      </c>
    </row>
    <row r="114" spans="1:3">
      <c r="A114" t="s">
        <v>3177</v>
      </c>
      <c r="B114" t="s">
        <v>3152</v>
      </c>
      <c r="C114" t="s">
        <v>44</v>
      </c>
    </row>
    <row r="115" spans="1:3">
      <c r="A115" t="s">
        <v>3178</v>
      </c>
      <c r="B115" t="s">
        <v>3179</v>
      </c>
      <c r="C115" t="s">
        <v>157</v>
      </c>
    </row>
    <row r="116" spans="1:3">
      <c r="A116" t="s">
        <v>3180</v>
      </c>
      <c r="B116" t="s">
        <v>3181</v>
      </c>
      <c r="C116" t="s">
        <v>158</v>
      </c>
    </row>
    <row r="117" spans="1:3">
      <c r="A117" t="s">
        <v>3182</v>
      </c>
      <c r="B117" t="s">
        <v>3051</v>
      </c>
      <c r="C117" t="s">
        <v>35</v>
      </c>
    </row>
    <row r="118" spans="1:3">
      <c r="A118" t="s">
        <v>3183</v>
      </c>
      <c r="B118" t="s">
        <v>2930</v>
      </c>
      <c r="C118" t="s">
        <v>136</v>
      </c>
    </row>
    <row r="119" spans="1:3">
      <c r="A119" t="s">
        <v>3184</v>
      </c>
      <c r="B119" t="s">
        <v>3185</v>
      </c>
      <c r="C119" t="s">
        <v>44</v>
      </c>
    </row>
    <row r="120" spans="1:3">
      <c r="A120" t="s">
        <v>3186</v>
      </c>
      <c r="B120" t="s">
        <v>2854</v>
      </c>
      <c r="C120" t="s">
        <v>65</v>
      </c>
    </row>
    <row r="121" spans="1:3">
      <c r="A121" t="s">
        <v>3187</v>
      </c>
      <c r="B121" t="s">
        <v>3098</v>
      </c>
      <c r="C121" t="s">
        <v>35</v>
      </c>
    </row>
    <row r="122" spans="1:3">
      <c r="A122" t="s">
        <v>3188</v>
      </c>
      <c r="B122" t="s">
        <v>2903</v>
      </c>
      <c r="C122" t="s">
        <v>80</v>
      </c>
    </row>
    <row r="123" spans="1:3">
      <c r="A123" t="s">
        <v>2906</v>
      </c>
      <c r="B123" t="s">
        <v>2908</v>
      </c>
      <c r="C123" t="s">
        <v>777</v>
      </c>
    </row>
    <row r="124" spans="1:3">
      <c r="A124" t="s">
        <v>3189</v>
      </c>
      <c r="B124" t="s">
        <v>3105</v>
      </c>
      <c r="C124" t="s">
        <v>41</v>
      </c>
    </row>
    <row r="125" spans="1:3">
      <c r="A125" t="s">
        <v>3190</v>
      </c>
      <c r="B125" t="s">
        <v>3191</v>
      </c>
      <c r="C125" t="s">
        <v>39</v>
      </c>
    </row>
    <row r="126" spans="1:3">
      <c r="A126" t="s">
        <v>3192</v>
      </c>
      <c r="B126" t="s">
        <v>3193</v>
      </c>
      <c r="C126" t="s">
        <v>157</v>
      </c>
    </row>
    <row r="127" spans="1:3">
      <c r="A127" t="s">
        <v>3194</v>
      </c>
      <c r="B127" t="s">
        <v>3195</v>
      </c>
      <c r="C127" t="s">
        <v>157</v>
      </c>
    </row>
    <row r="128" spans="1:3">
      <c r="A128" t="s">
        <v>3196</v>
      </c>
      <c r="B128" t="s">
        <v>3197</v>
      </c>
      <c r="C128" t="s">
        <v>157</v>
      </c>
    </row>
    <row r="129" spans="1:3">
      <c r="A129" t="s">
        <v>3198</v>
      </c>
      <c r="B129" t="s">
        <v>2934</v>
      </c>
      <c r="C129" t="s">
        <v>67</v>
      </c>
    </row>
    <row r="130" spans="1:3">
      <c r="A130" t="s">
        <v>3199</v>
      </c>
      <c r="B130" t="s">
        <v>3040</v>
      </c>
      <c r="C130" t="s">
        <v>39</v>
      </c>
    </row>
    <row r="131" spans="1:3">
      <c r="A131" t="s">
        <v>3200</v>
      </c>
      <c r="B131" t="s">
        <v>3201</v>
      </c>
      <c r="C131" t="s">
        <v>1737</v>
      </c>
    </row>
    <row r="132" spans="1:3">
      <c r="A132" t="s">
        <v>3202</v>
      </c>
      <c r="B132" t="s">
        <v>3203</v>
      </c>
      <c r="C132" t="s">
        <v>39</v>
      </c>
    </row>
    <row r="133" spans="1:3">
      <c r="A133" t="s">
        <v>3204</v>
      </c>
      <c r="B133" t="s">
        <v>3197</v>
      </c>
      <c r="C133" t="s">
        <v>157</v>
      </c>
    </row>
    <row r="134" spans="1:3">
      <c r="A134" t="s">
        <v>3205</v>
      </c>
      <c r="B134" t="s">
        <v>3206</v>
      </c>
      <c r="C134" t="s">
        <v>41</v>
      </c>
    </row>
    <row r="135" spans="1:3">
      <c r="A135" t="s">
        <v>3207</v>
      </c>
      <c r="B135" t="s">
        <v>3208</v>
      </c>
      <c r="C135" t="s">
        <v>35</v>
      </c>
    </row>
    <row r="136" spans="1:3">
      <c r="A136" t="s">
        <v>3209</v>
      </c>
      <c r="B136" t="s">
        <v>3210</v>
      </c>
      <c r="C136" t="s">
        <v>35</v>
      </c>
    </row>
    <row r="137" spans="1:3">
      <c r="A137" t="s">
        <v>3211</v>
      </c>
      <c r="B137" t="s">
        <v>3212</v>
      </c>
      <c r="C137" t="s">
        <v>67</v>
      </c>
    </row>
    <row r="138" spans="1:3">
      <c r="A138" t="s">
        <v>3211</v>
      </c>
      <c r="B138" t="s">
        <v>3063</v>
      </c>
      <c r="C138" t="s">
        <v>80</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2FD4-CDFD-4FAB-ADB8-50A83533307D}">
  <dimension ref="A1:C58"/>
  <sheetViews>
    <sheetView workbookViewId="0">
      <selection activeCell="H14" sqref="H14"/>
    </sheetView>
  </sheetViews>
  <sheetFormatPr defaultRowHeight="14.45"/>
  <cols>
    <col min="1" max="1" width="12.85546875" customWidth="1"/>
    <col min="2" max="2" width="14.140625" bestFit="1" customWidth="1"/>
    <col min="3" max="3" width="9.7109375" customWidth="1"/>
  </cols>
  <sheetData>
    <row r="1" spans="1:3">
      <c r="A1" s="20" t="s">
        <v>2851</v>
      </c>
      <c r="B1" s="20" t="s">
        <v>2852</v>
      </c>
      <c r="C1" s="20" t="s">
        <v>1</v>
      </c>
    </row>
    <row r="2" spans="1:3">
      <c r="A2" s="21" t="s">
        <v>3213</v>
      </c>
      <c r="B2" s="22" t="s">
        <v>3214</v>
      </c>
      <c r="C2" s="21" t="s">
        <v>67</v>
      </c>
    </row>
    <row r="3" spans="1:3">
      <c r="A3" s="21" t="s">
        <v>3213</v>
      </c>
      <c r="B3" s="22" t="s">
        <v>3215</v>
      </c>
      <c r="C3" s="21" t="s">
        <v>47</v>
      </c>
    </row>
    <row r="4" spans="1:3">
      <c r="A4" s="21" t="s">
        <v>3213</v>
      </c>
      <c r="B4" s="22" t="s">
        <v>3216</v>
      </c>
      <c r="C4" s="21" t="s">
        <v>157</v>
      </c>
    </row>
    <row r="5" spans="1:3">
      <c r="A5" s="21" t="s">
        <v>3217</v>
      </c>
      <c r="B5" s="22" t="s">
        <v>3218</v>
      </c>
      <c r="C5" s="21" t="s">
        <v>65</v>
      </c>
    </row>
    <row r="6" spans="1:3">
      <c r="A6" s="21" t="s">
        <v>3217</v>
      </c>
      <c r="B6" s="22" t="s">
        <v>3219</v>
      </c>
      <c r="C6" s="21" t="s">
        <v>80</v>
      </c>
    </row>
    <row r="7" spans="1:3">
      <c r="A7" s="21" t="s">
        <v>3220</v>
      </c>
      <c r="B7" s="22" t="s">
        <v>3221</v>
      </c>
      <c r="C7" s="21" t="s">
        <v>39</v>
      </c>
    </row>
    <row r="8" spans="1:3">
      <c r="A8" s="23" t="s">
        <v>3220</v>
      </c>
      <c r="B8" s="24" t="s">
        <v>3222</v>
      </c>
      <c r="C8" s="23" t="s">
        <v>39</v>
      </c>
    </row>
    <row r="9" spans="1:3">
      <c r="A9" s="21" t="s">
        <v>3220</v>
      </c>
      <c r="B9" s="22" t="s">
        <v>3223</v>
      </c>
      <c r="C9" s="21" t="s">
        <v>35</v>
      </c>
    </row>
    <row r="10" spans="1:3">
      <c r="A10" s="21" t="s">
        <v>3224</v>
      </c>
      <c r="B10" s="24" t="s">
        <v>3225</v>
      </c>
      <c r="C10" s="21" t="s">
        <v>157</v>
      </c>
    </row>
    <row r="11" spans="1:3">
      <c r="A11" s="21" t="s">
        <v>3224</v>
      </c>
      <c r="B11" s="22" t="s">
        <v>3226</v>
      </c>
      <c r="C11" s="21" t="s">
        <v>157</v>
      </c>
    </row>
    <row r="12" spans="1:3" ht="12.6" customHeight="1">
      <c r="A12" s="21" t="s">
        <v>3227</v>
      </c>
      <c r="B12" s="24" t="s">
        <v>3228</v>
      </c>
      <c r="C12" s="21" t="s">
        <v>157</v>
      </c>
    </row>
    <row r="13" spans="1:3" ht="28.9">
      <c r="A13" s="21" t="s">
        <v>3227</v>
      </c>
      <c r="B13" s="22" t="s">
        <v>3229</v>
      </c>
      <c r="C13" s="21" t="s">
        <v>157</v>
      </c>
    </row>
    <row r="14" spans="1:3">
      <c r="A14" s="21" t="s">
        <v>3230</v>
      </c>
      <c r="B14" s="24" t="s">
        <v>3231</v>
      </c>
      <c r="C14" s="21" t="s">
        <v>33</v>
      </c>
    </row>
    <row r="15" spans="1:3">
      <c r="A15" s="21" t="s">
        <v>3232</v>
      </c>
      <c r="B15" s="22" t="s">
        <v>3233</v>
      </c>
      <c r="C15" s="21" t="s">
        <v>65</v>
      </c>
    </row>
    <row r="16" spans="1:3">
      <c r="A16" s="21" t="s">
        <v>3232</v>
      </c>
      <c r="B16" s="24" t="s">
        <v>3233</v>
      </c>
      <c r="C16" s="21" t="s">
        <v>1294</v>
      </c>
    </row>
    <row r="17" spans="1:3">
      <c r="A17" s="21" t="s">
        <v>3232</v>
      </c>
      <c r="B17" s="22" t="s">
        <v>3234</v>
      </c>
      <c r="C17" s="21" t="s">
        <v>136</v>
      </c>
    </row>
    <row r="18" spans="1:3">
      <c r="A18" s="21" t="s">
        <v>3235</v>
      </c>
      <c r="B18" s="24" t="s">
        <v>3236</v>
      </c>
      <c r="C18" s="21" t="s">
        <v>39</v>
      </c>
    </row>
    <row r="19" spans="1:3">
      <c r="A19" s="21" t="s">
        <v>3237</v>
      </c>
      <c r="B19" s="22" t="s">
        <v>3238</v>
      </c>
      <c r="C19" s="21" t="s">
        <v>39</v>
      </c>
    </row>
    <row r="20" spans="1:3">
      <c r="A20" s="21" t="s">
        <v>3239</v>
      </c>
      <c r="B20" s="23" t="s">
        <v>3221</v>
      </c>
      <c r="C20" s="21" t="s">
        <v>39</v>
      </c>
    </row>
    <row r="21" spans="1:3">
      <c r="A21" s="21" t="s">
        <v>3116</v>
      </c>
      <c r="B21" s="21" t="s">
        <v>3240</v>
      </c>
      <c r="C21" s="21" t="s">
        <v>39</v>
      </c>
    </row>
    <row r="22" spans="1:3">
      <c r="A22" s="21" t="s">
        <v>3241</v>
      </c>
      <c r="B22" s="24" t="s">
        <v>3242</v>
      </c>
      <c r="C22" s="21" t="s">
        <v>44</v>
      </c>
    </row>
    <row r="23" spans="1:3">
      <c r="A23" s="21" t="s">
        <v>3243</v>
      </c>
      <c r="B23" s="21" t="s">
        <v>3244</v>
      </c>
      <c r="C23" s="21" t="s">
        <v>39</v>
      </c>
    </row>
    <row r="24" spans="1:3">
      <c r="A24" s="21" t="s">
        <v>3243</v>
      </c>
      <c r="B24" s="23" t="s">
        <v>3238</v>
      </c>
      <c r="C24" s="21" t="s">
        <v>39</v>
      </c>
    </row>
    <row r="25" spans="1:3">
      <c r="A25" s="21" t="s">
        <v>3245</v>
      </c>
      <c r="B25" s="22" t="s">
        <v>3238</v>
      </c>
      <c r="C25" s="21" t="s">
        <v>39</v>
      </c>
    </row>
    <row r="26" spans="1:3">
      <c r="A26" s="21" t="s">
        <v>3246</v>
      </c>
      <c r="B26" s="23" t="s">
        <v>3238</v>
      </c>
      <c r="C26" s="21" t="s">
        <v>39</v>
      </c>
    </row>
    <row r="27" spans="1:3">
      <c r="A27" s="21" t="s">
        <v>3247</v>
      </c>
      <c r="B27" s="22" t="s">
        <v>3234</v>
      </c>
      <c r="C27" s="21" t="s">
        <v>136</v>
      </c>
    </row>
    <row r="28" spans="1:3">
      <c r="A28" s="21" t="s">
        <v>3248</v>
      </c>
      <c r="B28" s="24" t="s">
        <v>3238</v>
      </c>
      <c r="C28" s="21" t="s">
        <v>39</v>
      </c>
    </row>
    <row r="29" spans="1:3">
      <c r="A29" s="21" t="s">
        <v>3248</v>
      </c>
      <c r="B29" s="22" t="s">
        <v>3249</v>
      </c>
      <c r="C29" s="21" t="s">
        <v>158</v>
      </c>
    </row>
    <row r="30" spans="1:3">
      <c r="A30" s="21" t="s">
        <v>3248</v>
      </c>
      <c r="B30" s="24" t="s">
        <v>3250</v>
      </c>
      <c r="C30" s="21" t="s">
        <v>158</v>
      </c>
    </row>
    <row r="31" spans="1:3">
      <c r="A31" s="21" t="s">
        <v>3251</v>
      </c>
      <c r="B31" s="21" t="s">
        <v>3233</v>
      </c>
      <c r="C31" s="21" t="s">
        <v>65</v>
      </c>
    </row>
    <row r="32" spans="1:3">
      <c r="A32" s="21" t="s">
        <v>3251</v>
      </c>
      <c r="B32" s="24" t="s">
        <v>3234</v>
      </c>
      <c r="C32" s="21" t="s">
        <v>136</v>
      </c>
    </row>
    <row r="33" spans="1:3">
      <c r="A33" s="21" t="s">
        <v>3252</v>
      </c>
      <c r="B33" s="22" t="s">
        <v>3238</v>
      </c>
      <c r="C33" s="21" t="s">
        <v>39</v>
      </c>
    </row>
    <row r="34" spans="1:3">
      <c r="A34" s="21" t="s">
        <v>3253</v>
      </c>
      <c r="B34" s="24" t="s">
        <v>3254</v>
      </c>
      <c r="C34" s="21" t="s">
        <v>39</v>
      </c>
    </row>
    <row r="35" spans="1:3">
      <c r="A35" s="21" t="s">
        <v>3255</v>
      </c>
      <c r="B35" s="22" t="s">
        <v>3238</v>
      </c>
      <c r="C35" s="21" t="s">
        <v>39</v>
      </c>
    </row>
    <row r="36" spans="1:3">
      <c r="A36" s="21" t="s">
        <v>3256</v>
      </c>
      <c r="B36" s="24" t="s">
        <v>3238</v>
      </c>
      <c r="C36" s="21" t="s">
        <v>39</v>
      </c>
    </row>
    <row r="37" spans="1:3">
      <c r="A37" s="21" t="s">
        <v>3257</v>
      </c>
      <c r="B37" s="22" t="s">
        <v>3238</v>
      </c>
      <c r="C37" s="21" t="s">
        <v>39</v>
      </c>
    </row>
    <row r="38" spans="1:3">
      <c r="A38" s="21" t="s">
        <v>3258</v>
      </c>
      <c r="B38" s="24" t="s">
        <v>3259</v>
      </c>
      <c r="C38" s="21" t="s">
        <v>331</v>
      </c>
    </row>
    <row r="39" spans="1:3">
      <c r="A39" s="21" t="s">
        <v>3260</v>
      </c>
      <c r="B39" s="22" t="s">
        <v>3261</v>
      </c>
      <c r="C39" s="21" t="s">
        <v>39</v>
      </c>
    </row>
    <row r="40" spans="1:3">
      <c r="A40" s="21" t="s">
        <v>3260</v>
      </c>
      <c r="B40" s="24" t="s">
        <v>3261</v>
      </c>
      <c r="C40" s="21" t="s">
        <v>80</v>
      </c>
    </row>
    <row r="41" spans="1:3">
      <c r="A41" s="21" t="s">
        <v>3262</v>
      </c>
      <c r="B41" s="22" t="s">
        <v>3221</v>
      </c>
      <c r="C41" s="21" t="s">
        <v>39</v>
      </c>
    </row>
    <row r="42" spans="1:3">
      <c r="A42" s="21" t="s">
        <v>3263</v>
      </c>
      <c r="B42" s="24" t="s">
        <v>3264</v>
      </c>
      <c r="C42" s="21" t="s">
        <v>39</v>
      </c>
    </row>
    <row r="43" spans="1:3">
      <c r="A43" s="21" t="s">
        <v>3265</v>
      </c>
      <c r="B43" s="22" t="s">
        <v>3244</v>
      </c>
      <c r="C43" s="21" t="s">
        <v>39</v>
      </c>
    </row>
    <row r="44" spans="1:3">
      <c r="A44" s="21" t="s">
        <v>3265</v>
      </c>
      <c r="B44" s="24" t="s">
        <v>3266</v>
      </c>
      <c r="C44" s="21" t="s">
        <v>39</v>
      </c>
    </row>
    <row r="45" spans="1:3">
      <c r="A45" s="21" t="s">
        <v>3267</v>
      </c>
      <c r="B45" s="22" t="s">
        <v>3268</v>
      </c>
      <c r="C45" s="21" t="s">
        <v>1294</v>
      </c>
    </row>
    <row r="46" spans="1:3">
      <c r="A46" s="21" t="s">
        <v>3267</v>
      </c>
      <c r="B46" s="24" t="s">
        <v>3238</v>
      </c>
      <c r="C46" s="21" t="s">
        <v>39</v>
      </c>
    </row>
    <row r="47" spans="1:3">
      <c r="A47" s="21" t="s">
        <v>3269</v>
      </c>
      <c r="B47" s="22" t="s">
        <v>3233</v>
      </c>
      <c r="C47" s="21" t="s">
        <v>65</v>
      </c>
    </row>
    <row r="48" spans="1:3">
      <c r="A48" s="23" t="s">
        <v>3269</v>
      </c>
      <c r="B48" s="6" t="s">
        <v>3233</v>
      </c>
      <c r="C48" s="23" t="s">
        <v>1294</v>
      </c>
    </row>
    <row r="49" spans="1:3">
      <c r="A49" s="21" t="s">
        <v>3270</v>
      </c>
      <c r="B49" s="22" t="s">
        <v>3271</v>
      </c>
      <c r="C49" s="21" t="s">
        <v>35</v>
      </c>
    </row>
    <row r="50" spans="1:3">
      <c r="A50" s="23" t="s">
        <v>3272</v>
      </c>
      <c r="B50" s="6" t="s">
        <v>3238</v>
      </c>
      <c r="C50" s="23" t="s">
        <v>39</v>
      </c>
    </row>
    <row r="51" spans="1:3">
      <c r="A51" s="21" t="s">
        <v>3273</v>
      </c>
      <c r="B51" s="22" t="s">
        <v>3244</v>
      </c>
      <c r="C51" s="21" t="s">
        <v>39</v>
      </c>
    </row>
    <row r="52" spans="1:3">
      <c r="A52" s="21" t="s">
        <v>3274</v>
      </c>
      <c r="B52" s="24" t="s">
        <v>3275</v>
      </c>
      <c r="C52" s="21" t="s">
        <v>33</v>
      </c>
    </row>
    <row r="53" spans="1:3">
      <c r="A53" s="21" t="s">
        <v>3274</v>
      </c>
      <c r="B53" s="22" t="s">
        <v>3218</v>
      </c>
      <c r="C53" s="21" t="s">
        <v>67</v>
      </c>
    </row>
    <row r="54" spans="1:3">
      <c r="A54" s="21" t="s">
        <v>3274</v>
      </c>
      <c r="B54" s="24" t="s">
        <v>3276</v>
      </c>
      <c r="C54" s="21" t="s">
        <v>44</v>
      </c>
    </row>
    <row r="55" spans="1:3">
      <c r="A55" s="21" t="s">
        <v>3277</v>
      </c>
      <c r="B55" s="22" t="s">
        <v>3221</v>
      </c>
      <c r="C55" s="21" t="s">
        <v>39</v>
      </c>
    </row>
    <row r="56" spans="1:3">
      <c r="A56" s="21" t="s">
        <v>3278</v>
      </c>
      <c r="B56" s="24" t="s">
        <v>3244</v>
      </c>
      <c r="C56" s="21" t="s">
        <v>39</v>
      </c>
    </row>
    <row r="57" spans="1:3">
      <c r="A57" s="21" t="s">
        <v>3279</v>
      </c>
      <c r="B57" s="22" t="s">
        <v>3280</v>
      </c>
      <c r="C57" s="21" t="s">
        <v>67</v>
      </c>
    </row>
    <row r="58" spans="1:3">
      <c r="A58" s="21" t="s">
        <v>3281</v>
      </c>
      <c r="B58" s="23" t="s">
        <v>3221</v>
      </c>
      <c r="C58" s="21" t="s">
        <v>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3AB9-5EB4-493D-A6DF-170D9DB57662}">
  <dimension ref="A1:C51"/>
  <sheetViews>
    <sheetView workbookViewId="0">
      <selection activeCell="F30" sqref="F30"/>
    </sheetView>
  </sheetViews>
  <sheetFormatPr defaultRowHeight="14.45"/>
  <cols>
    <col min="1" max="1" width="40.28515625" bestFit="1" customWidth="1"/>
    <col min="2" max="2" width="35.5703125" bestFit="1" customWidth="1"/>
    <col min="3" max="3" width="10" bestFit="1" customWidth="1"/>
  </cols>
  <sheetData>
    <row r="1" spans="1:3">
      <c r="A1" t="s">
        <v>2851</v>
      </c>
      <c r="B1" t="s">
        <v>2852</v>
      </c>
      <c r="C1" t="s">
        <v>1</v>
      </c>
    </row>
    <row r="2" spans="1:3">
      <c r="A2" t="s">
        <v>3282</v>
      </c>
      <c r="B2" t="s">
        <v>3218</v>
      </c>
      <c r="C2" t="s">
        <v>65</v>
      </c>
    </row>
    <row r="3" spans="1:3">
      <c r="A3" t="s">
        <v>3113</v>
      </c>
      <c r="B3" t="s">
        <v>3283</v>
      </c>
      <c r="C3" t="s">
        <v>65</v>
      </c>
    </row>
    <row r="4" spans="1:3">
      <c r="A4" t="s">
        <v>3284</v>
      </c>
      <c r="B4" t="s">
        <v>3231</v>
      </c>
      <c r="C4" t="s">
        <v>33</v>
      </c>
    </row>
    <row r="5" spans="1:3">
      <c r="A5" t="s">
        <v>3285</v>
      </c>
      <c r="B5" t="s">
        <v>3286</v>
      </c>
      <c r="C5" t="s">
        <v>67</v>
      </c>
    </row>
    <row r="6" spans="1:3">
      <c r="A6" t="s">
        <v>3287</v>
      </c>
      <c r="B6" t="s">
        <v>3288</v>
      </c>
      <c r="C6" t="s">
        <v>67</v>
      </c>
    </row>
    <row r="7" spans="1:3">
      <c r="A7" t="s">
        <v>2982</v>
      </c>
      <c r="B7" t="s">
        <v>3280</v>
      </c>
      <c r="C7" t="s">
        <v>67</v>
      </c>
    </row>
    <row r="8" spans="1:3">
      <c r="A8" t="s">
        <v>2890</v>
      </c>
      <c r="B8" t="s">
        <v>3289</v>
      </c>
      <c r="C8" t="s">
        <v>39</v>
      </c>
    </row>
    <row r="9" spans="1:3">
      <c r="A9" t="s">
        <v>3290</v>
      </c>
      <c r="B9" t="s">
        <v>3291</v>
      </c>
      <c r="C9" t="s">
        <v>39</v>
      </c>
    </row>
    <row r="10" spans="1:3">
      <c r="A10" t="s">
        <v>3292</v>
      </c>
      <c r="B10" t="s">
        <v>3293</v>
      </c>
      <c r="C10" t="s">
        <v>39</v>
      </c>
    </row>
    <row r="11" spans="1:3">
      <c r="A11" t="s">
        <v>3294</v>
      </c>
      <c r="B11" t="s">
        <v>3295</v>
      </c>
      <c r="C11" t="s">
        <v>39</v>
      </c>
    </row>
    <row r="12" spans="1:3">
      <c r="A12" t="s">
        <v>3296</v>
      </c>
      <c r="B12" t="s">
        <v>3297</v>
      </c>
      <c r="C12" t="s">
        <v>39</v>
      </c>
    </row>
    <row r="13" spans="1:3">
      <c r="A13" t="s">
        <v>3237</v>
      </c>
      <c r="B13" t="s">
        <v>3222</v>
      </c>
      <c r="C13" t="s">
        <v>39</v>
      </c>
    </row>
    <row r="14" spans="1:3">
      <c r="A14" t="s">
        <v>3298</v>
      </c>
      <c r="B14" t="s">
        <v>3299</v>
      </c>
      <c r="C14" t="s">
        <v>39</v>
      </c>
    </row>
    <row r="15" spans="1:3">
      <c r="A15" t="s">
        <v>3239</v>
      </c>
      <c r="B15" t="s">
        <v>3300</v>
      </c>
      <c r="C15" t="s">
        <v>39</v>
      </c>
    </row>
    <row r="16" spans="1:3">
      <c r="A16" t="s">
        <v>3301</v>
      </c>
      <c r="B16" t="s">
        <v>3293</v>
      </c>
      <c r="C16" t="s">
        <v>39</v>
      </c>
    </row>
    <row r="17" spans="1:3">
      <c r="A17" t="s">
        <v>3302</v>
      </c>
      <c r="B17" t="s">
        <v>3236</v>
      </c>
      <c r="C17" t="s">
        <v>39</v>
      </c>
    </row>
    <row r="18" spans="1:3">
      <c r="A18" t="s">
        <v>3303</v>
      </c>
      <c r="B18" t="s">
        <v>3304</v>
      </c>
      <c r="C18" t="s">
        <v>136</v>
      </c>
    </row>
    <row r="19" spans="1:3">
      <c r="A19" t="s">
        <v>3305</v>
      </c>
      <c r="B19" t="s">
        <v>3306</v>
      </c>
      <c r="C19" t="s">
        <v>136</v>
      </c>
    </row>
    <row r="20" spans="1:3">
      <c r="A20" t="s">
        <v>3307</v>
      </c>
      <c r="B20" t="s">
        <v>3276</v>
      </c>
      <c r="C20" t="s">
        <v>44</v>
      </c>
    </row>
    <row r="21" spans="1:3">
      <c r="A21" t="s">
        <v>3308</v>
      </c>
      <c r="B21" t="s">
        <v>141</v>
      </c>
      <c r="C21" t="s">
        <v>44</v>
      </c>
    </row>
    <row r="22" spans="1:3">
      <c r="A22" t="s">
        <v>3309</v>
      </c>
      <c r="B22" t="s">
        <v>3276</v>
      </c>
      <c r="C22" t="s">
        <v>44</v>
      </c>
    </row>
    <row r="23" spans="1:3">
      <c r="A23" t="s">
        <v>3310</v>
      </c>
      <c r="B23" t="s">
        <v>3311</v>
      </c>
      <c r="C23" t="s">
        <v>44</v>
      </c>
    </row>
    <row r="24" spans="1:3">
      <c r="A24" t="s">
        <v>3312</v>
      </c>
      <c r="B24" t="s">
        <v>3313</v>
      </c>
      <c r="C24" t="s">
        <v>44</v>
      </c>
    </row>
    <row r="25" spans="1:3">
      <c r="A25" t="s">
        <v>3314</v>
      </c>
      <c r="B25" t="s">
        <v>3276</v>
      </c>
      <c r="C25" t="s">
        <v>44</v>
      </c>
    </row>
    <row r="26" spans="1:3">
      <c r="A26" t="s">
        <v>3315</v>
      </c>
      <c r="B26" t="s">
        <v>3316</v>
      </c>
      <c r="C26" t="s">
        <v>44</v>
      </c>
    </row>
    <row r="27" spans="1:3">
      <c r="A27" t="s">
        <v>3315</v>
      </c>
      <c r="B27" t="s">
        <v>3316</v>
      </c>
      <c r="C27" t="s">
        <v>44</v>
      </c>
    </row>
    <row r="28" spans="1:3">
      <c r="A28" t="s">
        <v>3317</v>
      </c>
      <c r="B28" t="s">
        <v>3318</v>
      </c>
      <c r="C28" t="s">
        <v>44</v>
      </c>
    </row>
    <row r="29" spans="1:3">
      <c r="A29" t="s">
        <v>3258</v>
      </c>
      <c r="B29" t="s">
        <v>3259</v>
      </c>
      <c r="C29" t="s">
        <v>331</v>
      </c>
    </row>
    <row r="30" spans="1:3">
      <c r="A30" t="s">
        <v>3319</v>
      </c>
      <c r="B30" t="s">
        <v>3320</v>
      </c>
      <c r="C30" t="s">
        <v>35</v>
      </c>
    </row>
    <row r="31" spans="1:3">
      <c r="A31" t="s">
        <v>3321</v>
      </c>
      <c r="B31" t="s">
        <v>3322</v>
      </c>
      <c r="C31" t="s">
        <v>35</v>
      </c>
    </row>
    <row r="32" spans="1:3">
      <c r="A32" t="s">
        <v>3323</v>
      </c>
      <c r="B32" t="s">
        <v>3324</v>
      </c>
      <c r="C32" t="s">
        <v>35</v>
      </c>
    </row>
    <row r="33" spans="1:3">
      <c r="A33" t="s">
        <v>3325</v>
      </c>
      <c r="B33" t="s">
        <v>3326</v>
      </c>
      <c r="C33" t="s">
        <v>35</v>
      </c>
    </row>
    <row r="34" spans="1:3">
      <c r="A34" t="s">
        <v>3156</v>
      </c>
      <c r="B34" t="s">
        <v>3327</v>
      </c>
      <c r="C34" t="s">
        <v>35</v>
      </c>
    </row>
    <row r="35" spans="1:3">
      <c r="A35" t="s">
        <v>3328</v>
      </c>
      <c r="B35" t="s">
        <v>3329</v>
      </c>
      <c r="C35" t="s">
        <v>35</v>
      </c>
    </row>
    <row r="36" spans="1:3">
      <c r="A36" t="s">
        <v>3116</v>
      </c>
      <c r="B36" t="s">
        <v>3330</v>
      </c>
      <c r="C36" t="s">
        <v>35</v>
      </c>
    </row>
    <row r="37" spans="1:3">
      <c r="A37" t="s">
        <v>3331</v>
      </c>
      <c r="B37" t="s">
        <v>3332</v>
      </c>
      <c r="C37" t="s">
        <v>47</v>
      </c>
    </row>
    <row r="38" spans="1:3">
      <c r="A38" t="s">
        <v>2982</v>
      </c>
      <c r="B38" t="s">
        <v>3333</v>
      </c>
      <c r="C38" t="s">
        <v>47</v>
      </c>
    </row>
    <row r="39" spans="1:3">
      <c r="A39" t="s">
        <v>3334</v>
      </c>
      <c r="B39" t="s">
        <v>3335</v>
      </c>
      <c r="C39" t="s">
        <v>41</v>
      </c>
    </row>
    <row r="40" spans="1:3">
      <c r="A40" t="s">
        <v>3336</v>
      </c>
      <c r="B40" t="s">
        <v>3337</v>
      </c>
      <c r="C40" t="s">
        <v>41</v>
      </c>
    </row>
    <row r="41" spans="1:3">
      <c r="A41" t="s">
        <v>3338</v>
      </c>
      <c r="B41" t="s">
        <v>3335</v>
      </c>
      <c r="C41" t="s">
        <v>41</v>
      </c>
    </row>
    <row r="42" spans="1:3">
      <c r="A42" t="s">
        <v>3339</v>
      </c>
      <c r="B42" t="s">
        <v>3340</v>
      </c>
      <c r="C42" t="s">
        <v>41</v>
      </c>
    </row>
    <row r="43" spans="1:3">
      <c r="A43" t="s">
        <v>3341</v>
      </c>
      <c r="B43" t="s">
        <v>3335</v>
      </c>
      <c r="C43" t="s">
        <v>41</v>
      </c>
    </row>
    <row r="44" spans="1:3">
      <c r="A44" t="s">
        <v>3342</v>
      </c>
      <c r="B44" t="s">
        <v>3335</v>
      </c>
      <c r="C44" t="s">
        <v>41</v>
      </c>
    </row>
    <row r="45" spans="1:3">
      <c r="A45" t="s">
        <v>3343</v>
      </c>
      <c r="B45" t="s">
        <v>3344</v>
      </c>
      <c r="C45" t="s">
        <v>41</v>
      </c>
    </row>
    <row r="46" spans="1:3">
      <c r="A46" t="s">
        <v>3118</v>
      </c>
      <c r="B46" t="s">
        <v>3345</v>
      </c>
      <c r="C46" t="s">
        <v>80</v>
      </c>
    </row>
    <row r="47" spans="1:3">
      <c r="A47" t="s">
        <v>3346</v>
      </c>
      <c r="B47" t="s">
        <v>3347</v>
      </c>
      <c r="C47" t="s">
        <v>75</v>
      </c>
    </row>
    <row r="48" spans="1:3">
      <c r="A48" t="s">
        <v>3348</v>
      </c>
      <c r="B48" t="s">
        <v>3349</v>
      </c>
      <c r="C48" t="s">
        <v>157</v>
      </c>
    </row>
    <row r="49" spans="1:3">
      <c r="A49" t="s">
        <v>3350</v>
      </c>
      <c r="B49" t="s">
        <v>3351</v>
      </c>
      <c r="C49" t="s">
        <v>157</v>
      </c>
    </row>
    <row r="50" spans="1:3">
      <c r="A50" t="s">
        <v>3352</v>
      </c>
      <c r="B50" t="s">
        <v>3353</v>
      </c>
      <c r="C50" t="s">
        <v>157</v>
      </c>
    </row>
    <row r="51" spans="1:3">
      <c r="A51" t="s">
        <v>3354</v>
      </c>
      <c r="B51" t="s">
        <v>3226</v>
      </c>
      <c r="C51" t="s">
        <v>157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6C07-A97F-489F-8BDC-3AD86AE957F2}">
  <dimension ref="A1:D7"/>
  <sheetViews>
    <sheetView workbookViewId="0">
      <selection activeCell="A4" sqref="A4"/>
    </sheetView>
  </sheetViews>
  <sheetFormatPr defaultRowHeight="14.45"/>
  <cols>
    <col min="1" max="1" width="37.28515625" bestFit="1" customWidth="1"/>
    <col min="2" max="2" width="10" bestFit="1" customWidth="1"/>
    <col min="3" max="3" width="80.85546875" bestFit="1" customWidth="1"/>
    <col min="4" max="4" width="25.85546875" bestFit="1" customWidth="1"/>
  </cols>
  <sheetData>
    <row r="1" spans="1:4">
      <c r="A1" t="s">
        <v>3355</v>
      </c>
      <c r="B1" t="s">
        <v>1</v>
      </c>
      <c r="C1" t="s">
        <v>3356</v>
      </c>
      <c r="D1" t="s">
        <v>3357</v>
      </c>
    </row>
    <row r="2" spans="1:4">
      <c r="A2" t="s">
        <v>3358</v>
      </c>
      <c r="B2" t="s">
        <v>35</v>
      </c>
      <c r="C2" t="s">
        <v>3359</v>
      </c>
      <c r="D2" t="s">
        <v>3360</v>
      </c>
    </row>
    <row r="3" spans="1:4">
      <c r="A3" t="s">
        <v>3361</v>
      </c>
      <c r="B3" t="s">
        <v>39</v>
      </c>
      <c r="C3" t="s">
        <v>3362</v>
      </c>
      <c r="D3" t="s">
        <v>3363</v>
      </c>
    </row>
    <row r="4" spans="1:4" ht="43.15">
      <c r="A4" t="s">
        <v>84</v>
      </c>
      <c r="B4" s="6" t="s">
        <v>47</v>
      </c>
      <c r="C4" s="6" t="s">
        <v>3364</v>
      </c>
      <c r="D4" t="s">
        <v>3365</v>
      </c>
    </row>
    <row r="5" spans="1:4">
      <c r="A5" t="s">
        <v>3366</v>
      </c>
      <c r="B5" t="s">
        <v>158</v>
      </c>
      <c r="C5" t="s">
        <v>3367</v>
      </c>
      <c r="D5" t="s">
        <v>3368</v>
      </c>
    </row>
    <row r="6" spans="1:4">
      <c r="A6" t="s">
        <v>3369</v>
      </c>
      <c r="B6" t="s">
        <v>35</v>
      </c>
      <c r="C6" t="s">
        <v>3370</v>
      </c>
      <c r="D6" t="s">
        <v>3371</v>
      </c>
    </row>
    <row r="7" spans="1:4">
      <c r="A7" t="s">
        <v>3372</v>
      </c>
      <c r="B7" t="s">
        <v>39</v>
      </c>
      <c r="C7" t="s">
        <v>3373</v>
      </c>
      <c r="D7" t="s">
        <v>3374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3631-DC3C-48B0-818E-76885715FC04}">
  <dimension ref="A1:D190"/>
  <sheetViews>
    <sheetView workbookViewId="0">
      <selection activeCell="C20" sqref="C20"/>
    </sheetView>
  </sheetViews>
  <sheetFormatPr defaultRowHeight="14.45"/>
  <cols>
    <col min="1" max="1" width="38.140625" bestFit="1" customWidth="1"/>
    <col min="2" max="2" width="10" bestFit="1" customWidth="1"/>
    <col min="3" max="3" width="127.140625" bestFit="1" customWidth="1"/>
    <col min="4" max="4" width="29.85546875" bestFit="1" customWidth="1"/>
  </cols>
  <sheetData>
    <row r="1" spans="1:4">
      <c r="A1" t="s">
        <v>3355</v>
      </c>
      <c r="B1" t="s">
        <v>1</v>
      </c>
      <c r="C1" t="s">
        <v>3356</v>
      </c>
      <c r="D1" t="s">
        <v>3375</v>
      </c>
    </row>
    <row r="2" spans="1:4">
      <c r="A2" t="s">
        <v>3376</v>
      </c>
      <c r="B2" t="s">
        <v>157</v>
      </c>
      <c r="C2" t="s">
        <v>3377</v>
      </c>
      <c r="D2" t="s">
        <v>3378</v>
      </c>
    </row>
    <row r="3" spans="1:4">
      <c r="A3" t="s">
        <v>3376</v>
      </c>
      <c r="B3" t="s">
        <v>157</v>
      </c>
      <c r="C3" t="s">
        <v>3379</v>
      </c>
      <c r="D3" t="s">
        <v>3380</v>
      </c>
    </row>
    <row r="4" spans="1:4">
      <c r="A4" t="s">
        <v>3376</v>
      </c>
      <c r="B4" t="s">
        <v>157</v>
      </c>
      <c r="C4" t="s">
        <v>3381</v>
      </c>
      <c r="D4" t="s">
        <v>3382</v>
      </c>
    </row>
    <row r="5" spans="1:4">
      <c r="A5" t="s">
        <v>3383</v>
      </c>
      <c r="B5" t="s">
        <v>35</v>
      </c>
      <c r="C5" t="s">
        <v>3384</v>
      </c>
      <c r="D5" t="s">
        <v>3385</v>
      </c>
    </row>
    <row r="6" spans="1:4">
      <c r="A6" t="s">
        <v>3386</v>
      </c>
      <c r="B6" t="s">
        <v>35</v>
      </c>
      <c r="C6" t="s">
        <v>3387</v>
      </c>
      <c r="D6" t="s">
        <v>3388</v>
      </c>
    </row>
    <row r="7" spans="1:4">
      <c r="A7" t="s">
        <v>3386</v>
      </c>
      <c r="B7" t="s">
        <v>35</v>
      </c>
      <c r="C7" t="s">
        <v>3389</v>
      </c>
      <c r="D7" t="s">
        <v>3390</v>
      </c>
    </row>
    <row r="8" spans="1:4">
      <c r="A8" t="s">
        <v>3391</v>
      </c>
      <c r="B8" t="s">
        <v>47</v>
      </c>
      <c r="C8" t="s">
        <v>3392</v>
      </c>
      <c r="D8" t="s">
        <v>3393</v>
      </c>
    </row>
    <row r="9" spans="1:4">
      <c r="A9" t="s">
        <v>3394</v>
      </c>
      <c r="B9" t="s">
        <v>3019</v>
      </c>
      <c r="C9" t="s">
        <v>3395</v>
      </c>
      <c r="D9" t="s">
        <v>3396</v>
      </c>
    </row>
    <row r="10" spans="1:4">
      <c r="A10" t="s">
        <v>3397</v>
      </c>
      <c r="B10" t="s">
        <v>47</v>
      </c>
      <c r="C10" t="s">
        <v>3389</v>
      </c>
      <c r="D10" t="s">
        <v>3398</v>
      </c>
    </row>
    <row r="11" spans="1:4">
      <c r="A11" t="s">
        <v>3399</v>
      </c>
      <c r="B11" t="s">
        <v>39</v>
      </c>
      <c r="C11" t="s">
        <v>3400</v>
      </c>
      <c r="D11" t="s">
        <v>3401</v>
      </c>
    </row>
    <row r="12" spans="1:4">
      <c r="A12" t="s">
        <v>3402</v>
      </c>
      <c r="B12" t="s">
        <v>41</v>
      </c>
      <c r="C12" t="s">
        <v>3403</v>
      </c>
      <c r="D12" t="s">
        <v>3404</v>
      </c>
    </row>
    <row r="13" spans="1:4">
      <c r="A13" t="s">
        <v>3405</v>
      </c>
      <c r="B13" t="s">
        <v>41</v>
      </c>
      <c r="C13" t="s">
        <v>3379</v>
      </c>
      <c r="D13" t="s">
        <v>3406</v>
      </c>
    </row>
    <row r="14" spans="1:4">
      <c r="A14" t="s">
        <v>3407</v>
      </c>
      <c r="B14" t="s">
        <v>157</v>
      </c>
      <c r="C14" t="s">
        <v>3408</v>
      </c>
      <c r="D14" t="s">
        <v>3409</v>
      </c>
    </row>
    <row r="15" spans="1:4">
      <c r="A15" t="s">
        <v>3410</v>
      </c>
      <c r="B15" t="s">
        <v>157</v>
      </c>
      <c r="C15" t="s">
        <v>3400</v>
      </c>
      <c r="D15" t="s">
        <v>3411</v>
      </c>
    </row>
    <row r="16" spans="1:4">
      <c r="A16" t="s">
        <v>3407</v>
      </c>
      <c r="B16" t="s">
        <v>157</v>
      </c>
      <c r="C16" t="s">
        <v>3412</v>
      </c>
      <c r="D16" t="s">
        <v>3413</v>
      </c>
    </row>
    <row r="17" spans="1:4">
      <c r="A17" t="s">
        <v>3414</v>
      </c>
      <c r="B17" t="s">
        <v>35</v>
      </c>
      <c r="C17" t="s">
        <v>3415</v>
      </c>
      <c r="D17" t="s">
        <v>3416</v>
      </c>
    </row>
    <row r="18" spans="1:4">
      <c r="A18" t="s">
        <v>3414</v>
      </c>
      <c r="B18" t="s">
        <v>35</v>
      </c>
      <c r="C18" t="s">
        <v>3379</v>
      </c>
      <c r="D18" t="s">
        <v>3417</v>
      </c>
    </row>
    <row r="19" spans="1:4">
      <c r="A19" t="s">
        <v>3418</v>
      </c>
      <c r="B19" t="s">
        <v>35</v>
      </c>
      <c r="C19" t="s">
        <v>3419</v>
      </c>
      <c r="D19" t="s">
        <v>3420</v>
      </c>
    </row>
    <row r="20" spans="1:4">
      <c r="A20" t="s">
        <v>3421</v>
      </c>
      <c r="B20" t="s">
        <v>39</v>
      </c>
      <c r="C20" t="s">
        <v>3422</v>
      </c>
      <c r="D20" t="s">
        <v>3423</v>
      </c>
    </row>
    <row r="21" spans="1:4">
      <c r="A21" t="s">
        <v>3424</v>
      </c>
      <c r="B21" t="s">
        <v>35</v>
      </c>
      <c r="C21" t="s">
        <v>3425</v>
      </c>
      <c r="D21" t="s">
        <v>3426</v>
      </c>
    </row>
    <row r="22" spans="1:4">
      <c r="A22" t="s">
        <v>3427</v>
      </c>
      <c r="B22" t="s">
        <v>39</v>
      </c>
      <c r="C22" t="s">
        <v>3403</v>
      </c>
      <c r="D22" t="s">
        <v>3428</v>
      </c>
    </row>
    <row r="23" spans="1:4">
      <c r="A23" t="s">
        <v>3429</v>
      </c>
      <c r="B23" t="s">
        <v>39</v>
      </c>
      <c r="C23" t="s">
        <v>3379</v>
      </c>
      <c r="D23" t="s">
        <v>3430</v>
      </c>
    </row>
    <row r="24" spans="1:4">
      <c r="A24" t="s">
        <v>3431</v>
      </c>
      <c r="B24" t="s">
        <v>157</v>
      </c>
      <c r="C24" t="s">
        <v>3432</v>
      </c>
      <c r="D24" t="s">
        <v>3433</v>
      </c>
    </row>
    <row r="25" spans="1:4">
      <c r="A25" t="s">
        <v>3431</v>
      </c>
      <c r="B25" t="s">
        <v>157</v>
      </c>
      <c r="C25" t="s">
        <v>3432</v>
      </c>
      <c r="D25" t="s">
        <v>3434</v>
      </c>
    </row>
    <row r="26" spans="1:4">
      <c r="A26" t="s">
        <v>3435</v>
      </c>
      <c r="B26" t="s">
        <v>35</v>
      </c>
      <c r="C26" t="s">
        <v>3400</v>
      </c>
      <c r="D26" t="s">
        <v>3436</v>
      </c>
    </row>
    <row r="27" spans="1:4">
      <c r="A27" t="s">
        <v>3437</v>
      </c>
      <c r="B27" t="s">
        <v>39</v>
      </c>
      <c r="C27" t="s">
        <v>3403</v>
      </c>
      <c r="D27" t="s">
        <v>3438</v>
      </c>
    </row>
    <row r="28" spans="1:4">
      <c r="A28" t="s">
        <v>3437</v>
      </c>
      <c r="B28" t="s">
        <v>39</v>
      </c>
      <c r="C28" t="s">
        <v>3439</v>
      </c>
      <c r="D28" t="s">
        <v>3440</v>
      </c>
    </row>
    <row r="29" spans="1:4">
      <c r="A29" t="s">
        <v>3441</v>
      </c>
      <c r="B29" t="s">
        <v>33</v>
      </c>
      <c r="C29" t="s">
        <v>3379</v>
      </c>
      <c r="D29" t="s">
        <v>3442</v>
      </c>
    </row>
    <row r="30" spans="1:4">
      <c r="A30" t="s">
        <v>3443</v>
      </c>
      <c r="B30" t="s">
        <v>67</v>
      </c>
      <c r="C30" t="s">
        <v>3403</v>
      </c>
      <c r="D30" t="s">
        <v>3444</v>
      </c>
    </row>
    <row r="31" spans="1:4">
      <c r="A31" t="s">
        <v>3445</v>
      </c>
      <c r="B31" t="s">
        <v>67</v>
      </c>
      <c r="C31" t="s">
        <v>3379</v>
      </c>
      <c r="D31" t="s">
        <v>3446</v>
      </c>
    </row>
    <row r="32" spans="1:4">
      <c r="A32" t="s">
        <v>3443</v>
      </c>
      <c r="B32" t="s">
        <v>67</v>
      </c>
      <c r="C32" t="s">
        <v>3381</v>
      </c>
      <c r="D32" t="s">
        <v>3447</v>
      </c>
    </row>
    <row r="33" spans="1:4">
      <c r="A33" t="s">
        <v>3448</v>
      </c>
      <c r="B33" t="s">
        <v>47</v>
      </c>
      <c r="C33" t="s">
        <v>3449</v>
      </c>
      <c r="D33" t="s">
        <v>3450</v>
      </c>
    </row>
    <row r="34" spans="1:4">
      <c r="A34" t="s">
        <v>3448</v>
      </c>
      <c r="B34" t="s">
        <v>47</v>
      </c>
      <c r="C34" t="s">
        <v>3403</v>
      </c>
      <c r="D34" t="s">
        <v>3451</v>
      </c>
    </row>
    <row r="35" spans="1:4">
      <c r="A35" t="s">
        <v>3452</v>
      </c>
      <c r="B35" t="s">
        <v>47</v>
      </c>
      <c r="C35" t="s">
        <v>3453</v>
      </c>
      <c r="D35" t="s">
        <v>3454</v>
      </c>
    </row>
    <row r="36" spans="1:4">
      <c r="A36" t="s">
        <v>3455</v>
      </c>
      <c r="B36" t="s">
        <v>35</v>
      </c>
      <c r="D36" t="s">
        <v>3456</v>
      </c>
    </row>
    <row r="37" spans="1:4">
      <c r="A37" t="s">
        <v>3457</v>
      </c>
      <c r="B37" t="s">
        <v>39</v>
      </c>
      <c r="C37" t="s">
        <v>3458</v>
      </c>
      <c r="D37" t="s">
        <v>3459</v>
      </c>
    </row>
    <row r="38" spans="1:4">
      <c r="A38" t="s">
        <v>3460</v>
      </c>
      <c r="B38" t="s">
        <v>39</v>
      </c>
      <c r="C38" t="s">
        <v>3461</v>
      </c>
      <c r="D38" t="s">
        <v>3462</v>
      </c>
    </row>
    <row r="39" spans="1:4">
      <c r="A39" t="s">
        <v>3460</v>
      </c>
      <c r="B39" t="s">
        <v>39</v>
      </c>
      <c r="C39" t="s">
        <v>3463</v>
      </c>
      <c r="D39" t="s">
        <v>3464</v>
      </c>
    </row>
    <row r="40" spans="1:4">
      <c r="A40" t="s">
        <v>3457</v>
      </c>
      <c r="B40" t="s">
        <v>39</v>
      </c>
      <c r="C40" t="s">
        <v>3465</v>
      </c>
      <c r="D40" t="s">
        <v>3466</v>
      </c>
    </row>
    <row r="41" spans="1:4">
      <c r="A41" t="s">
        <v>3457</v>
      </c>
      <c r="B41" t="s">
        <v>39</v>
      </c>
      <c r="C41" t="s">
        <v>3467</v>
      </c>
      <c r="D41" t="s">
        <v>3468</v>
      </c>
    </row>
    <row r="42" spans="1:4">
      <c r="A42" t="s">
        <v>3457</v>
      </c>
      <c r="B42" t="s">
        <v>39</v>
      </c>
      <c r="C42" t="s">
        <v>3469</v>
      </c>
      <c r="D42" t="s">
        <v>3470</v>
      </c>
    </row>
    <row r="43" spans="1:4">
      <c r="A43" t="s">
        <v>3457</v>
      </c>
      <c r="B43" t="s">
        <v>39</v>
      </c>
      <c r="C43" t="s">
        <v>3471</v>
      </c>
      <c r="D43" t="s">
        <v>3472</v>
      </c>
    </row>
    <row r="44" spans="1:4">
      <c r="A44" t="s">
        <v>3457</v>
      </c>
      <c r="B44" t="s">
        <v>39</v>
      </c>
      <c r="C44" t="s">
        <v>3412</v>
      </c>
      <c r="D44" t="s">
        <v>3473</v>
      </c>
    </row>
    <row r="45" spans="1:4">
      <c r="A45" t="s">
        <v>3474</v>
      </c>
      <c r="B45" t="s">
        <v>39</v>
      </c>
      <c r="C45" t="s">
        <v>3475</v>
      </c>
      <c r="D45" t="s">
        <v>3476</v>
      </c>
    </row>
    <row r="46" spans="1:4">
      <c r="A46" t="s">
        <v>3477</v>
      </c>
      <c r="B46" t="s">
        <v>39</v>
      </c>
      <c r="C46" t="s">
        <v>3478</v>
      </c>
      <c r="D46" t="s">
        <v>3479</v>
      </c>
    </row>
    <row r="47" spans="1:4">
      <c r="A47" t="s">
        <v>3480</v>
      </c>
      <c r="B47" t="s">
        <v>47</v>
      </c>
      <c r="C47" t="s">
        <v>3403</v>
      </c>
      <c r="D47" t="s">
        <v>3481</v>
      </c>
    </row>
    <row r="48" spans="1:4">
      <c r="A48" t="s">
        <v>3482</v>
      </c>
      <c r="B48" t="s">
        <v>35</v>
      </c>
      <c r="C48" t="s">
        <v>3465</v>
      </c>
      <c r="D48" t="s">
        <v>3483</v>
      </c>
    </row>
    <row r="49" spans="1:4">
      <c r="A49" t="s">
        <v>3484</v>
      </c>
      <c r="B49" t="s">
        <v>41</v>
      </c>
      <c r="C49" t="s">
        <v>3469</v>
      </c>
      <c r="D49" t="s">
        <v>3485</v>
      </c>
    </row>
    <row r="50" spans="1:4">
      <c r="A50" t="s">
        <v>3486</v>
      </c>
      <c r="B50" t="s">
        <v>67</v>
      </c>
      <c r="C50" t="s">
        <v>3487</v>
      </c>
      <c r="D50" t="s">
        <v>3488</v>
      </c>
    </row>
    <row r="51" spans="1:4">
      <c r="A51" t="s">
        <v>3489</v>
      </c>
      <c r="B51" t="s">
        <v>35</v>
      </c>
      <c r="C51" t="s">
        <v>3490</v>
      </c>
      <c r="D51" t="s">
        <v>3491</v>
      </c>
    </row>
    <row r="52" spans="1:4">
      <c r="A52" t="s">
        <v>3489</v>
      </c>
      <c r="B52" t="s">
        <v>35</v>
      </c>
      <c r="C52" t="s">
        <v>3492</v>
      </c>
      <c r="D52" t="s">
        <v>3493</v>
      </c>
    </row>
    <row r="53" spans="1:4">
      <c r="A53" t="s">
        <v>3494</v>
      </c>
      <c r="B53" t="s">
        <v>35</v>
      </c>
      <c r="C53" t="s">
        <v>3400</v>
      </c>
      <c r="D53" t="s">
        <v>3495</v>
      </c>
    </row>
    <row r="54" spans="1:4">
      <c r="A54" t="s">
        <v>3496</v>
      </c>
      <c r="B54" t="s">
        <v>157</v>
      </c>
      <c r="C54" t="s">
        <v>3400</v>
      </c>
      <c r="D54" t="s">
        <v>3497</v>
      </c>
    </row>
    <row r="55" spans="1:4">
      <c r="A55" t="s">
        <v>3498</v>
      </c>
      <c r="B55" t="s">
        <v>44</v>
      </c>
      <c r="C55" t="s">
        <v>3499</v>
      </c>
      <c r="D55" t="s">
        <v>3500</v>
      </c>
    </row>
    <row r="56" spans="1:4">
      <c r="A56" t="s">
        <v>3501</v>
      </c>
      <c r="B56" t="s">
        <v>44</v>
      </c>
      <c r="C56" t="s">
        <v>3502</v>
      </c>
      <c r="D56" t="s">
        <v>3503</v>
      </c>
    </row>
    <row r="57" spans="1:4">
      <c r="A57" t="s">
        <v>3501</v>
      </c>
      <c r="B57" t="s">
        <v>44</v>
      </c>
      <c r="C57" t="s">
        <v>3412</v>
      </c>
      <c r="D57" t="s">
        <v>3504</v>
      </c>
    </row>
    <row r="58" spans="1:4">
      <c r="A58" t="s">
        <v>3505</v>
      </c>
      <c r="B58" t="s">
        <v>80</v>
      </c>
      <c r="C58" t="s">
        <v>3506</v>
      </c>
      <c r="D58" t="s">
        <v>3507</v>
      </c>
    </row>
    <row r="59" spans="1:4">
      <c r="A59" t="s">
        <v>3508</v>
      </c>
      <c r="B59" t="s">
        <v>35</v>
      </c>
      <c r="C59" t="s">
        <v>3509</v>
      </c>
      <c r="D59" t="s">
        <v>3510</v>
      </c>
    </row>
    <row r="60" spans="1:4">
      <c r="A60" t="s">
        <v>3511</v>
      </c>
      <c r="B60" t="s">
        <v>35</v>
      </c>
      <c r="C60" t="s">
        <v>3512</v>
      </c>
      <c r="D60" t="s">
        <v>3513</v>
      </c>
    </row>
    <row r="61" spans="1:4">
      <c r="A61" t="s">
        <v>3514</v>
      </c>
      <c r="B61" t="s">
        <v>331</v>
      </c>
      <c r="C61" t="s">
        <v>3475</v>
      </c>
      <c r="D61" t="s">
        <v>3515</v>
      </c>
    </row>
    <row r="62" spans="1:4">
      <c r="A62" t="s">
        <v>3516</v>
      </c>
      <c r="B62" t="s">
        <v>80</v>
      </c>
      <c r="D62" t="s">
        <v>3517</v>
      </c>
    </row>
    <row r="63" spans="1:4">
      <c r="A63" t="s">
        <v>3518</v>
      </c>
      <c r="B63" t="s">
        <v>44</v>
      </c>
      <c r="C63" t="s">
        <v>3519</v>
      </c>
      <c r="D63" t="s">
        <v>3520</v>
      </c>
    </row>
    <row r="64" spans="1:4">
      <c r="A64" t="s">
        <v>3521</v>
      </c>
      <c r="B64" t="s">
        <v>44</v>
      </c>
      <c r="C64" t="s">
        <v>3522</v>
      </c>
      <c r="D64" t="s">
        <v>3523</v>
      </c>
    </row>
    <row r="65" spans="1:4">
      <c r="A65" t="s">
        <v>3521</v>
      </c>
      <c r="B65" t="s">
        <v>44</v>
      </c>
      <c r="C65" t="s">
        <v>3512</v>
      </c>
      <c r="D65" t="s">
        <v>3524</v>
      </c>
    </row>
    <row r="66" spans="1:4">
      <c r="A66" t="s">
        <v>3525</v>
      </c>
      <c r="B66" t="s">
        <v>39</v>
      </c>
      <c r="C66" t="s">
        <v>3425</v>
      </c>
      <c r="D66" t="s">
        <v>3526</v>
      </c>
    </row>
    <row r="67" spans="1:4">
      <c r="A67" t="s">
        <v>3525</v>
      </c>
      <c r="B67" t="s">
        <v>39</v>
      </c>
      <c r="C67" t="s">
        <v>3527</v>
      </c>
      <c r="D67" t="s">
        <v>3528</v>
      </c>
    </row>
    <row r="68" spans="1:4">
      <c r="A68" t="s">
        <v>3525</v>
      </c>
      <c r="B68" t="s">
        <v>39</v>
      </c>
      <c r="C68" t="s">
        <v>3529</v>
      </c>
      <c r="D68" t="s">
        <v>3530</v>
      </c>
    </row>
    <row r="69" spans="1:4">
      <c r="A69" t="s">
        <v>3525</v>
      </c>
      <c r="B69" t="s">
        <v>39</v>
      </c>
      <c r="C69" t="s">
        <v>3531</v>
      </c>
      <c r="D69" t="s">
        <v>3532</v>
      </c>
    </row>
    <row r="70" spans="1:4">
      <c r="A70" t="s">
        <v>3533</v>
      </c>
      <c r="B70" t="s">
        <v>39</v>
      </c>
      <c r="C70" t="s">
        <v>3534</v>
      </c>
      <c r="D70" t="s">
        <v>3535</v>
      </c>
    </row>
    <row r="71" spans="1:4">
      <c r="A71" t="s">
        <v>3533</v>
      </c>
      <c r="B71" t="s">
        <v>39</v>
      </c>
      <c r="C71" t="s">
        <v>3536</v>
      </c>
      <c r="D71" t="s">
        <v>3537</v>
      </c>
    </row>
    <row r="72" spans="1:4">
      <c r="A72" t="s">
        <v>3525</v>
      </c>
      <c r="B72" t="s">
        <v>39</v>
      </c>
      <c r="C72" t="s">
        <v>3408</v>
      </c>
      <c r="D72" t="s">
        <v>3538</v>
      </c>
    </row>
    <row r="73" spans="1:4">
      <c r="A73" t="s">
        <v>3539</v>
      </c>
      <c r="B73" t="s">
        <v>157</v>
      </c>
      <c r="C73" t="s">
        <v>3540</v>
      </c>
      <c r="D73" t="s">
        <v>3541</v>
      </c>
    </row>
    <row r="74" spans="1:4">
      <c r="A74" t="s">
        <v>3542</v>
      </c>
      <c r="B74" t="s">
        <v>47</v>
      </c>
      <c r="C74" t="s">
        <v>3475</v>
      </c>
      <c r="D74" t="s">
        <v>3543</v>
      </c>
    </row>
    <row r="75" spans="1:4">
      <c r="A75" t="s">
        <v>3544</v>
      </c>
      <c r="B75" t="s">
        <v>35</v>
      </c>
      <c r="C75" t="s">
        <v>3469</v>
      </c>
      <c r="D75" t="s">
        <v>3545</v>
      </c>
    </row>
    <row r="76" spans="1:4">
      <c r="A76" t="s">
        <v>3546</v>
      </c>
      <c r="B76" t="s">
        <v>44</v>
      </c>
      <c r="C76" t="s">
        <v>3403</v>
      </c>
      <c r="D76" t="s">
        <v>3547</v>
      </c>
    </row>
    <row r="77" spans="1:4">
      <c r="A77" t="s">
        <v>3548</v>
      </c>
      <c r="B77" t="s">
        <v>44</v>
      </c>
      <c r="C77" t="s">
        <v>3549</v>
      </c>
      <c r="D77" t="s">
        <v>3550</v>
      </c>
    </row>
    <row r="78" spans="1:4">
      <c r="A78" t="s">
        <v>3551</v>
      </c>
      <c r="B78" t="s">
        <v>44</v>
      </c>
      <c r="C78" t="s">
        <v>3502</v>
      </c>
      <c r="D78" t="s">
        <v>3552</v>
      </c>
    </row>
    <row r="79" spans="1:4">
      <c r="A79" t="s">
        <v>3553</v>
      </c>
      <c r="B79" t="s">
        <v>44</v>
      </c>
      <c r="C79" t="s">
        <v>3554</v>
      </c>
      <c r="D79" t="s">
        <v>3555</v>
      </c>
    </row>
    <row r="80" spans="1:4">
      <c r="A80" t="s">
        <v>3553</v>
      </c>
      <c r="B80" t="s">
        <v>44</v>
      </c>
      <c r="C80" t="s">
        <v>3419</v>
      </c>
      <c r="D80" t="s">
        <v>3476</v>
      </c>
    </row>
    <row r="81" spans="1:4">
      <c r="A81" t="s">
        <v>3556</v>
      </c>
      <c r="B81" t="s">
        <v>47</v>
      </c>
      <c r="C81" t="s">
        <v>3425</v>
      </c>
      <c r="D81" t="s">
        <v>3557</v>
      </c>
    </row>
    <row r="82" spans="1:4">
      <c r="A82" t="s">
        <v>3558</v>
      </c>
      <c r="B82" t="s">
        <v>61</v>
      </c>
      <c r="C82" t="s">
        <v>3400</v>
      </c>
      <c r="D82" t="s">
        <v>3559</v>
      </c>
    </row>
    <row r="83" spans="1:4">
      <c r="A83" t="s">
        <v>3560</v>
      </c>
      <c r="B83" t="s">
        <v>39</v>
      </c>
      <c r="C83" t="s">
        <v>3561</v>
      </c>
      <c r="D83" t="s">
        <v>3562</v>
      </c>
    </row>
    <row r="84" spans="1:4">
      <c r="A84" t="s">
        <v>3361</v>
      </c>
      <c r="B84" t="s">
        <v>39</v>
      </c>
      <c r="C84" t="s">
        <v>3563</v>
      </c>
      <c r="D84" t="s">
        <v>3564</v>
      </c>
    </row>
    <row r="85" spans="1:4">
      <c r="A85" t="s">
        <v>3565</v>
      </c>
      <c r="B85" t="s">
        <v>39</v>
      </c>
      <c r="C85" t="s">
        <v>3425</v>
      </c>
      <c r="D85" t="s">
        <v>3566</v>
      </c>
    </row>
    <row r="86" spans="1:4">
      <c r="A86" t="s">
        <v>3567</v>
      </c>
      <c r="B86" t="s">
        <v>47</v>
      </c>
      <c r="C86" t="s">
        <v>3568</v>
      </c>
      <c r="D86" t="s">
        <v>3569</v>
      </c>
    </row>
    <row r="87" spans="1:4">
      <c r="A87" t="s">
        <v>3567</v>
      </c>
      <c r="B87" t="s">
        <v>47</v>
      </c>
      <c r="C87" t="s">
        <v>3403</v>
      </c>
      <c r="D87" t="s">
        <v>3570</v>
      </c>
    </row>
    <row r="88" spans="1:4">
      <c r="A88" t="s">
        <v>3571</v>
      </c>
      <c r="B88" t="s">
        <v>47</v>
      </c>
      <c r="C88" t="s">
        <v>3572</v>
      </c>
      <c r="D88" t="s">
        <v>3573</v>
      </c>
    </row>
    <row r="89" spans="1:4">
      <c r="A89" t="s">
        <v>3571</v>
      </c>
      <c r="B89" t="s">
        <v>47</v>
      </c>
      <c r="C89" t="s">
        <v>3574</v>
      </c>
      <c r="D89" t="s">
        <v>3575</v>
      </c>
    </row>
    <row r="90" spans="1:4">
      <c r="A90" t="s">
        <v>3576</v>
      </c>
      <c r="B90" t="s">
        <v>39</v>
      </c>
      <c r="C90" t="s">
        <v>3425</v>
      </c>
      <c r="D90" t="s">
        <v>3577</v>
      </c>
    </row>
    <row r="91" spans="1:4">
      <c r="A91" t="s">
        <v>3578</v>
      </c>
      <c r="B91" t="s">
        <v>157</v>
      </c>
      <c r="C91" t="s">
        <v>3579</v>
      </c>
      <c r="D91" t="s">
        <v>3580</v>
      </c>
    </row>
    <row r="92" spans="1:4">
      <c r="A92" t="s">
        <v>3581</v>
      </c>
      <c r="B92" t="s">
        <v>44</v>
      </c>
      <c r="C92" t="s">
        <v>3582</v>
      </c>
      <c r="D92" t="s">
        <v>3583</v>
      </c>
    </row>
    <row r="93" spans="1:4">
      <c r="A93" t="s">
        <v>3581</v>
      </c>
      <c r="B93" t="s">
        <v>44</v>
      </c>
      <c r="C93" t="s">
        <v>3584</v>
      </c>
      <c r="D93" t="s">
        <v>3585</v>
      </c>
    </row>
    <row r="94" spans="1:4">
      <c r="A94" t="s">
        <v>3581</v>
      </c>
      <c r="B94" t="s">
        <v>44</v>
      </c>
      <c r="C94" t="s">
        <v>3586</v>
      </c>
      <c r="D94" t="s">
        <v>3587</v>
      </c>
    </row>
    <row r="95" spans="1:4">
      <c r="A95" t="s">
        <v>3581</v>
      </c>
      <c r="B95" t="s">
        <v>44</v>
      </c>
      <c r="C95" t="s">
        <v>3588</v>
      </c>
      <c r="D95" t="s">
        <v>3589</v>
      </c>
    </row>
    <row r="96" spans="1:4">
      <c r="A96" t="s">
        <v>3581</v>
      </c>
      <c r="B96" t="s">
        <v>44</v>
      </c>
      <c r="C96" t="s">
        <v>3590</v>
      </c>
      <c r="D96" t="s">
        <v>3591</v>
      </c>
    </row>
    <row r="97" spans="1:4">
      <c r="A97" t="s">
        <v>3581</v>
      </c>
      <c r="B97" t="s">
        <v>44</v>
      </c>
      <c r="C97" t="s">
        <v>3592</v>
      </c>
      <c r="D97" t="s">
        <v>3593</v>
      </c>
    </row>
    <row r="98" spans="1:4">
      <c r="A98" t="s">
        <v>3594</v>
      </c>
      <c r="B98" t="s">
        <v>39</v>
      </c>
      <c r="C98" t="s">
        <v>3595</v>
      </c>
      <c r="D98" t="s">
        <v>3596</v>
      </c>
    </row>
    <row r="99" spans="1:4">
      <c r="A99" t="s">
        <v>3597</v>
      </c>
      <c r="B99" t="s">
        <v>156</v>
      </c>
      <c r="C99" t="s">
        <v>3403</v>
      </c>
      <c r="D99" t="s">
        <v>3598</v>
      </c>
    </row>
    <row r="100" spans="1:4">
      <c r="A100" t="s">
        <v>3599</v>
      </c>
      <c r="B100" t="s">
        <v>39</v>
      </c>
      <c r="C100" t="s">
        <v>3403</v>
      </c>
      <c r="D100" t="s">
        <v>3600</v>
      </c>
    </row>
    <row r="101" spans="1:4">
      <c r="A101" t="s">
        <v>3601</v>
      </c>
      <c r="B101" t="s">
        <v>39</v>
      </c>
      <c r="C101" t="s">
        <v>3403</v>
      </c>
      <c r="D101" t="s">
        <v>3602</v>
      </c>
    </row>
    <row r="102" spans="1:4">
      <c r="A102" t="s">
        <v>3603</v>
      </c>
      <c r="B102" t="s">
        <v>39</v>
      </c>
      <c r="C102" t="s">
        <v>3379</v>
      </c>
      <c r="D102" t="s">
        <v>3604</v>
      </c>
    </row>
    <row r="103" spans="1:4">
      <c r="A103" t="s">
        <v>3605</v>
      </c>
      <c r="B103" t="s">
        <v>33</v>
      </c>
      <c r="C103" t="s">
        <v>3584</v>
      </c>
      <c r="D103" t="s">
        <v>3606</v>
      </c>
    </row>
    <row r="104" spans="1:4">
      <c r="A104" t="s">
        <v>3607</v>
      </c>
      <c r="B104" t="s">
        <v>33</v>
      </c>
      <c r="C104" t="s">
        <v>3400</v>
      </c>
      <c r="D104" t="s">
        <v>3608</v>
      </c>
    </row>
    <row r="105" spans="1:4">
      <c r="A105" t="s">
        <v>3609</v>
      </c>
      <c r="B105" t="s">
        <v>44</v>
      </c>
      <c r="C105" t="s">
        <v>3387</v>
      </c>
      <c r="D105" t="s">
        <v>3610</v>
      </c>
    </row>
    <row r="106" spans="1:4">
      <c r="A106" t="s">
        <v>3611</v>
      </c>
      <c r="B106" t="s">
        <v>44</v>
      </c>
      <c r="C106" t="s">
        <v>3612</v>
      </c>
      <c r="D106" t="s">
        <v>3613</v>
      </c>
    </row>
    <row r="107" spans="1:4">
      <c r="A107" t="s">
        <v>3614</v>
      </c>
      <c r="B107" t="s">
        <v>1737</v>
      </c>
      <c r="C107" t="s">
        <v>3403</v>
      </c>
      <c r="D107" t="s">
        <v>3615</v>
      </c>
    </row>
    <row r="108" spans="1:4">
      <c r="A108" t="s">
        <v>3616</v>
      </c>
      <c r="B108" t="s">
        <v>39</v>
      </c>
      <c r="C108" t="s">
        <v>3403</v>
      </c>
      <c r="D108" t="s">
        <v>3617</v>
      </c>
    </row>
    <row r="109" spans="1:4">
      <c r="A109" t="s">
        <v>3616</v>
      </c>
      <c r="B109" t="s">
        <v>39</v>
      </c>
      <c r="C109" t="s">
        <v>3379</v>
      </c>
      <c r="D109" t="s">
        <v>3618</v>
      </c>
    </row>
    <row r="110" spans="1:4">
      <c r="A110" t="s">
        <v>3616</v>
      </c>
      <c r="B110" t="s">
        <v>39</v>
      </c>
      <c r="C110" t="s">
        <v>3572</v>
      </c>
      <c r="D110" t="s">
        <v>3619</v>
      </c>
    </row>
    <row r="111" spans="1:4">
      <c r="A111" t="s">
        <v>3616</v>
      </c>
      <c r="B111" t="s">
        <v>39</v>
      </c>
      <c r="C111" t="s">
        <v>3620</v>
      </c>
      <c r="D111" t="s">
        <v>3621</v>
      </c>
    </row>
    <row r="112" spans="1:4">
      <c r="A112" t="s">
        <v>3622</v>
      </c>
      <c r="B112" t="s">
        <v>158</v>
      </c>
      <c r="C112" t="s">
        <v>3403</v>
      </c>
      <c r="D112" t="s">
        <v>3623</v>
      </c>
    </row>
    <row r="113" spans="1:4">
      <c r="A113" t="s">
        <v>3624</v>
      </c>
      <c r="B113" t="s">
        <v>158</v>
      </c>
      <c r="C113" t="s">
        <v>3572</v>
      </c>
      <c r="D113" t="s">
        <v>3625</v>
      </c>
    </row>
    <row r="114" spans="1:4">
      <c r="A114" t="s">
        <v>3626</v>
      </c>
      <c r="B114" t="s">
        <v>158</v>
      </c>
      <c r="C114" t="s">
        <v>3425</v>
      </c>
      <c r="D114" t="s">
        <v>3627</v>
      </c>
    </row>
    <row r="115" spans="1:4">
      <c r="A115" t="s">
        <v>3626</v>
      </c>
      <c r="B115" t="s">
        <v>158</v>
      </c>
      <c r="C115" t="s">
        <v>3628</v>
      </c>
      <c r="D115" t="s">
        <v>3629</v>
      </c>
    </row>
    <row r="116" spans="1:4">
      <c r="A116" t="s">
        <v>3630</v>
      </c>
      <c r="B116" t="s">
        <v>158</v>
      </c>
      <c r="C116" t="s">
        <v>3631</v>
      </c>
      <c r="D116" t="s">
        <v>3632</v>
      </c>
    </row>
    <row r="117" spans="1:4">
      <c r="A117" t="s">
        <v>3633</v>
      </c>
      <c r="B117" t="s">
        <v>39</v>
      </c>
      <c r="C117" t="s">
        <v>3634</v>
      </c>
      <c r="D117" t="s">
        <v>3635</v>
      </c>
    </row>
    <row r="118" spans="1:4">
      <c r="A118" t="s">
        <v>3636</v>
      </c>
      <c r="B118" t="s">
        <v>35</v>
      </c>
      <c r="C118" t="s">
        <v>3637</v>
      </c>
      <c r="D118" t="s">
        <v>3638</v>
      </c>
    </row>
    <row r="119" spans="1:4">
      <c r="A119" t="s">
        <v>3639</v>
      </c>
      <c r="B119" t="s">
        <v>80</v>
      </c>
      <c r="C119" t="s">
        <v>3408</v>
      </c>
      <c r="D119" t="s">
        <v>3640</v>
      </c>
    </row>
    <row r="120" spans="1:4">
      <c r="A120" t="s">
        <v>3639</v>
      </c>
      <c r="B120" t="s">
        <v>80</v>
      </c>
      <c r="C120" t="s">
        <v>3641</v>
      </c>
      <c r="D120" t="s">
        <v>3642</v>
      </c>
    </row>
    <row r="121" spans="1:4">
      <c r="A121" t="s">
        <v>3643</v>
      </c>
      <c r="B121" t="s">
        <v>61</v>
      </c>
      <c r="C121" t="s">
        <v>3540</v>
      </c>
      <c r="D121" t="s">
        <v>3644</v>
      </c>
    </row>
    <row r="122" spans="1:4">
      <c r="A122" t="s">
        <v>3645</v>
      </c>
      <c r="B122" t="s">
        <v>157</v>
      </c>
      <c r="C122" t="s">
        <v>3572</v>
      </c>
      <c r="D122" t="s">
        <v>3646</v>
      </c>
    </row>
    <row r="123" spans="1:4">
      <c r="A123" t="s">
        <v>3647</v>
      </c>
      <c r="B123" t="s">
        <v>39</v>
      </c>
      <c r="C123" t="s">
        <v>3572</v>
      </c>
      <c r="D123" t="s">
        <v>3648</v>
      </c>
    </row>
    <row r="124" spans="1:4">
      <c r="A124" t="s">
        <v>3649</v>
      </c>
      <c r="B124" t="s">
        <v>47</v>
      </c>
      <c r="C124" t="s">
        <v>3650</v>
      </c>
      <c r="D124" t="s">
        <v>3651</v>
      </c>
    </row>
    <row r="125" spans="1:4">
      <c r="A125" t="s">
        <v>3652</v>
      </c>
      <c r="B125" t="s">
        <v>158</v>
      </c>
      <c r="C125" t="s">
        <v>3653</v>
      </c>
      <c r="D125" t="s">
        <v>3654</v>
      </c>
    </row>
    <row r="126" spans="1:4">
      <c r="A126" t="s">
        <v>3655</v>
      </c>
      <c r="B126" t="s">
        <v>47</v>
      </c>
      <c r="C126" t="s">
        <v>3656</v>
      </c>
      <c r="D126" t="s">
        <v>3657</v>
      </c>
    </row>
    <row r="127" spans="1:4">
      <c r="A127" t="s">
        <v>3658</v>
      </c>
      <c r="B127" t="s">
        <v>1737</v>
      </c>
      <c r="C127" t="s">
        <v>3659</v>
      </c>
      <c r="D127" t="s">
        <v>3660</v>
      </c>
    </row>
    <row r="128" spans="1:4">
      <c r="A128" t="s">
        <v>3661</v>
      </c>
      <c r="B128" t="s">
        <v>33</v>
      </c>
      <c r="C128" t="s">
        <v>3662</v>
      </c>
      <c r="D128" t="s">
        <v>3663</v>
      </c>
    </row>
    <row r="129" spans="1:4">
      <c r="A129" t="s">
        <v>3664</v>
      </c>
      <c r="B129" t="s">
        <v>39</v>
      </c>
      <c r="C129" t="s">
        <v>3665</v>
      </c>
      <c r="D129" t="s">
        <v>3666</v>
      </c>
    </row>
    <row r="130" spans="1:4">
      <c r="A130" t="s">
        <v>3664</v>
      </c>
      <c r="B130" t="s">
        <v>39</v>
      </c>
      <c r="C130" t="s">
        <v>3572</v>
      </c>
      <c r="D130" t="s">
        <v>3667</v>
      </c>
    </row>
    <row r="131" spans="1:4">
      <c r="A131" t="s">
        <v>3668</v>
      </c>
      <c r="B131" t="s">
        <v>136</v>
      </c>
      <c r="C131" t="s">
        <v>3408</v>
      </c>
      <c r="D131" t="s">
        <v>3669</v>
      </c>
    </row>
    <row r="132" spans="1:4">
      <c r="A132" t="s">
        <v>3670</v>
      </c>
      <c r="B132" t="s">
        <v>67</v>
      </c>
      <c r="C132" t="s">
        <v>3671</v>
      </c>
      <c r="D132" t="s">
        <v>3672</v>
      </c>
    </row>
    <row r="133" spans="1:4">
      <c r="A133" t="s">
        <v>3670</v>
      </c>
      <c r="B133" t="s">
        <v>67</v>
      </c>
      <c r="C133" t="s">
        <v>3453</v>
      </c>
      <c r="D133" t="s">
        <v>3673</v>
      </c>
    </row>
    <row r="134" spans="1:4">
      <c r="A134" t="s">
        <v>3674</v>
      </c>
      <c r="B134" t="s">
        <v>67</v>
      </c>
      <c r="C134" t="s">
        <v>3465</v>
      </c>
      <c r="D134" t="s">
        <v>3675</v>
      </c>
    </row>
    <row r="135" spans="1:4">
      <c r="A135" t="s">
        <v>3670</v>
      </c>
      <c r="B135" t="s">
        <v>67</v>
      </c>
      <c r="C135" t="s">
        <v>3572</v>
      </c>
      <c r="D135" t="s">
        <v>3676</v>
      </c>
    </row>
    <row r="136" spans="1:4">
      <c r="A136" t="s">
        <v>3677</v>
      </c>
      <c r="B136" t="s">
        <v>777</v>
      </c>
      <c r="C136" t="s">
        <v>3678</v>
      </c>
      <c r="D136" t="s">
        <v>3679</v>
      </c>
    </row>
    <row r="137" spans="1:4">
      <c r="A137" t="s">
        <v>3680</v>
      </c>
      <c r="B137" t="s">
        <v>777</v>
      </c>
      <c r="C137" t="s">
        <v>3395</v>
      </c>
      <c r="D137" t="s">
        <v>3681</v>
      </c>
    </row>
    <row r="138" spans="1:4">
      <c r="A138" t="s">
        <v>3680</v>
      </c>
      <c r="B138" t="s">
        <v>777</v>
      </c>
      <c r="C138" t="s">
        <v>3682</v>
      </c>
      <c r="D138" t="s">
        <v>3683</v>
      </c>
    </row>
    <row r="139" spans="1:4">
      <c r="A139" t="s">
        <v>3680</v>
      </c>
      <c r="B139" t="s">
        <v>777</v>
      </c>
      <c r="C139" t="s">
        <v>3684</v>
      </c>
      <c r="D139" t="s">
        <v>3685</v>
      </c>
    </row>
    <row r="140" spans="1:4">
      <c r="A140" t="s">
        <v>3686</v>
      </c>
      <c r="B140" t="s">
        <v>331</v>
      </c>
      <c r="C140" t="s">
        <v>3687</v>
      </c>
      <c r="D140" t="s">
        <v>3688</v>
      </c>
    </row>
    <row r="141" spans="1:4">
      <c r="A141" t="s">
        <v>3689</v>
      </c>
      <c r="B141" t="s">
        <v>331</v>
      </c>
      <c r="C141" t="s">
        <v>3690</v>
      </c>
      <c r="D141" t="s">
        <v>3691</v>
      </c>
    </row>
    <row r="142" spans="1:4">
      <c r="A142" t="s">
        <v>3692</v>
      </c>
      <c r="B142" t="s">
        <v>65</v>
      </c>
      <c r="C142" t="s">
        <v>3408</v>
      </c>
      <c r="D142" t="s">
        <v>3693</v>
      </c>
    </row>
    <row r="143" spans="1:4">
      <c r="A143" t="s">
        <v>3694</v>
      </c>
      <c r="B143" t="s">
        <v>65</v>
      </c>
      <c r="C143" t="s">
        <v>3465</v>
      </c>
      <c r="D143" t="s">
        <v>3695</v>
      </c>
    </row>
    <row r="144" spans="1:4">
      <c r="A144" t="s">
        <v>3694</v>
      </c>
      <c r="B144" t="s">
        <v>65</v>
      </c>
      <c r="C144" t="s">
        <v>3572</v>
      </c>
      <c r="D144" t="s">
        <v>3696</v>
      </c>
    </row>
    <row r="145" spans="1:4">
      <c r="A145" t="s">
        <v>3694</v>
      </c>
      <c r="B145" t="s">
        <v>65</v>
      </c>
      <c r="C145" t="s">
        <v>3690</v>
      </c>
      <c r="D145" t="s">
        <v>3697</v>
      </c>
    </row>
    <row r="146" spans="1:4">
      <c r="A146" t="s">
        <v>3698</v>
      </c>
      <c r="B146" t="s">
        <v>44</v>
      </c>
      <c r="C146" t="s">
        <v>3699</v>
      </c>
      <c r="D146" t="s">
        <v>3700</v>
      </c>
    </row>
    <row r="147" spans="1:4">
      <c r="A147" t="s">
        <v>3701</v>
      </c>
      <c r="B147" t="s">
        <v>44</v>
      </c>
      <c r="C147" t="s">
        <v>3702</v>
      </c>
      <c r="D147" t="s">
        <v>3703</v>
      </c>
    </row>
    <row r="148" spans="1:4">
      <c r="A148" t="s">
        <v>3704</v>
      </c>
      <c r="B148" t="s">
        <v>157</v>
      </c>
      <c r="C148" t="s">
        <v>3705</v>
      </c>
      <c r="D148" t="s">
        <v>3706</v>
      </c>
    </row>
    <row r="149" spans="1:4">
      <c r="A149" t="s">
        <v>3704</v>
      </c>
      <c r="B149" t="s">
        <v>157</v>
      </c>
      <c r="C149" t="s">
        <v>3707</v>
      </c>
      <c r="D149" t="s">
        <v>3706</v>
      </c>
    </row>
    <row r="150" spans="1:4">
      <c r="A150" t="s">
        <v>3708</v>
      </c>
      <c r="B150" t="s">
        <v>44</v>
      </c>
      <c r="C150" t="s">
        <v>3678</v>
      </c>
      <c r="D150" t="s">
        <v>3709</v>
      </c>
    </row>
    <row r="151" spans="1:4">
      <c r="A151" t="s">
        <v>3710</v>
      </c>
      <c r="B151" t="s">
        <v>44</v>
      </c>
      <c r="C151" t="s">
        <v>3465</v>
      </c>
      <c r="D151" t="s">
        <v>3711</v>
      </c>
    </row>
    <row r="152" spans="1:4">
      <c r="A152" t="s">
        <v>3710</v>
      </c>
      <c r="B152" t="s">
        <v>44</v>
      </c>
      <c r="C152" t="s">
        <v>3572</v>
      </c>
      <c r="D152" t="s">
        <v>3712</v>
      </c>
    </row>
    <row r="153" spans="1:4">
      <c r="A153" t="s">
        <v>3713</v>
      </c>
      <c r="B153" t="s">
        <v>65</v>
      </c>
      <c r="C153" t="s">
        <v>3408</v>
      </c>
      <c r="D153" t="s">
        <v>3714</v>
      </c>
    </row>
    <row r="154" spans="1:4">
      <c r="A154" t="s">
        <v>3715</v>
      </c>
      <c r="B154" t="s">
        <v>47</v>
      </c>
      <c r="C154" t="s">
        <v>3502</v>
      </c>
      <c r="D154" t="s">
        <v>3716</v>
      </c>
    </row>
    <row r="155" spans="1:4">
      <c r="A155" t="s">
        <v>3717</v>
      </c>
      <c r="B155" t="s">
        <v>35</v>
      </c>
      <c r="C155" t="s">
        <v>3502</v>
      </c>
      <c r="D155" t="s">
        <v>3718</v>
      </c>
    </row>
    <row r="156" spans="1:4">
      <c r="A156" t="s">
        <v>3719</v>
      </c>
      <c r="B156" t="s">
        <v>35</v>
      </c>
      <c r="C156" t="s">
        <v>3720</v>
      </c>
      <c r="D156" t="s">
        <v>3721</v>
      </c>
    </row>
    <row r="157" spans="1:4">
      <c r="A157" t="s">
        <v>3719</v>
      </c>
      <c r="B157" t="s">
        <v>35</v>
      </c>
      <c r="C157" t="s">
        <v>3722</v>
      </c>
      <c r="D157" t="s">
        <v>3723</v>
      </c>
    </row>
    <row r="158" spans="1:4">
      <c r="A158" t="s">
        <v>3724</v>
      </c>
      <c r="B158" t="s">
        <v>157</v>
      </c>
      <c r="C158" t="s">
        <v>3572</v>
      </c>
      <c r="D158" t="s">
        <v>3725</v>
      </c>
    </row>
    <row r="159" spans="1:4">
      <c r="A159" t="s">
        <v>3726</v>
      </c>
      <c r="B159" t="s">
        <v>67</v>
      </c>
      <c r="C159" t="s">
        <v>3403</v>
      </c>
      <c r="D159" t="s">
        <v>3727</v>
      </c>
    </row>
    <row r="160" spans="1:4">
      <c r="A160" t="s">
        <v>3728</v>
      </c>
      <c r="B160" t="s">
        <v>47</v>
      </c>
      <c r="C160" t="s">
        <v>3729</v>
      </c>
      <c r="D160" t="s">
        <v>3730</v>
      </c>
    </row>
    <row r="161" spans="1:4">
      <c r="A161" t="s">
        <v>3728</v>
      </c>
      <c r="B161" t="s">
        <v>47</v>
      </c>
      <c r="C161" t="s">
        <v>3392</v>
      </c>
      <c r="D161" t="s">
        <v>3731</v>
      </c>
    </row>
    <row r="162" spans="1:4">
      <c r="A162" t="s">
        <v>3728</v>
      </c>
      <c r="B162" t="s">
        <v>47</v>
      </c>
      <c r="C162" t="s">
        <v>3732</v>
      </c>
      <c r="D162" t="s">
        <v>3733</v>
      </c>
    </row>
    <row r="163" spans="1:4">
      <c r="A163" t="s">
        <v>3734</v>
      </c>
      <c r="B163" t="s">
        <v>39</v>
      </c>
      <c r="C163" t="s">
        <v>3735</v>
      </c>
      <c r="D163" t="s">
        <v>3736</v>
      </c>
    </row>
    <row r="164" spans="1:4">
      <c r="A164" t="s">
        <v>3734</v>
      </c>
      <c r="B164" t="s">
        <v>39</v>
      </c>
      <c r="C164" t="s">
        <v>3737</v>
      </c>
      <c r="D164" t="s">
        <v>3738</v>
      </c>
    </row>
    <row r="165" spans="1:4">
      <c r="A165" t="s">
        <v>3739</v>
      </c>
      <c r="B165" t="s">
        <v>39</v>
      </c>
      <c r="C165" t="s">
        <v>3403</v>
      </c>
      <c r="D165" t="s">
        <v>3740</v>
      </c>
    </row>
    <row r="166" spans="1:4">
      <c r="A166" t="s">
        <v>3741</v>
      </c>
      <c r="B166" t="s">
        <v>39</v>
      </c>
      <c r="C166" t="s">
        <v>3742</v>
      </c>
      <c r="D166" t="s">
        <v>3743</v>
      </c>
    </row>
    <row r="167" spans="1:4">
      <c r="A167" t="s">
        <v>3744</v>
      </c>
      <c r="B167" t="s">
        <v>33</v>
      </c>
      <c r="C167" t="s">
        <v>3671</v>
      </c>
      <c r="D167" t="s">
        <v>3745</v>
      </c>
    </row>
    <row r="168" spans="1:4">
      <c r="A168" t="s">
        <v>3744</v>
      </c>
      <c r="B168" t="s">
        <v>33</v>
      </c>
      <c r="C168" t="s">
        <v>3379</v>
      </c>
      <c r="D168" t="s">
        <v>3746</v>
      </c>
    </row>
    <row r="169" spans="1:4">
      <c r="A169" t="s">
        <v>3744</v>
      </c>
      <c r="B169" t="s">
        <v>33</v>
      </c>
      <c r="C169" t="s">
        <v>3572</v>
      </c>
      <c r="D169" t="s">
        <v>3747</v>
      </c>
    </row>
    <row r="170" spans="1:4">
      <c r="A170" t="s">
        <v>3748</v>
      </c>
      <c r="B170" t="s">
        <v>44</v>
      </c>
      <c r="C170" t="s">
        <v>3671</v>
      </c>
      <c r="D170" t="s">
        <v>3749</v>
      </c>
    </row>
    <row r="171" spans="1:4">
      <c r="A171" t="s">
        <v>3750</v>
      </c>
      <c r="B171" t="s">
        <v>44</v>
      </c>
      <c r="C171" t="s">
        <v>3465</v>
      </c>
      <c r="D171" t="s">
        <v>3751</v>
      </c>
    </row>
    <row r="172" spans="1:4">
      <c r="A172" t="s">
        <v>3752</v>
      </c>
      <c r="B172" t="s">
        <v>44</v>
      </c>
      <c r="C172" t="s">
        <v>3502</v>
      </c>
      <c r="D172" t="s">
        <v>3753</v>
      </c>
    </row>
    <row r="173" spans="1:4">
      <c r="A173" t="s">
        <v>3754</v>
      </c>
      <c r="B173" t="s">
        <v>35</v>
      </c>
      <c r="C173" t="s">
        <v>3755</v>
      </c>
      <c r="D173" t="s">
        <v>3756</v>
      </c>
    </row>
    <row r="174" spans="1:4">
      <c r="A174" t="s">
        <v>3754</v>
      </c>
      <c r="B174" t="s">
        <v>35</v>
      </c>
      <c r="C174" t="s">
        <v>3403</v>
      </c>
      <c r="D174" t="s">
        <v>3757</v>
      </c>
    </row>
    <row r="175" spans="1:4">
      <c r="A175" t="s">
        <v>3754</v>
      </c>
      <c r="B175" t="s">
        <v>35</v>
      </c>
      <c r="C175" t="s">
        <v>3392</v>
      </c>
      <c r="D175" t="s">
        <v>3758</v>
      </c>
    </row>
    <row r="176" spans="1:4">
      <c r="A176" t="s">
        <v>3759</v>
      </c>
      <c r="B176" t="s">
        <v>35</v>
      </c>
      <c r="C176" t="s">
        <v>3760</v>
      </c>
      <c r="D176" t="s">
        <v>3757</v>
      </c>
    </row>
    <row r="177" spans="1:4">
      <c r="A177" t="s">
        <v>3754</v>
      </c>
      <c r="B177" t="s">
        <v>35</v>
      </c>
      <c r="C177" t="s">
        <v>3400</v>
      </c>
      <c r="D177" t="s">
        <v>3761</v>
      </c>
    </row>
    <row r="178" spans="1:4">
      <c r="A178" t="s">
        <v>3762</v>
      </c>
      <c r="B178" t="s">
        <v>35</v>
      </c>
      <c r="C178" t="s">
        <v>3763</v>
      </c>
      <c r="D178" t="s">
        <v>3764</v>
      </c>
    </row>
    <row r="179" spans="1:4">
      <c r="A179" t="s">
        <v>3765</v>
      </c>
      <c r="B179" t="s">
        <v>47</v>
      </c>
      <c r="C179" t="s">
        <v>3766</v>
      </c>
      <c r="D179" t="s">
        <v>3767</v>
      </c>
    </row>
    <row r="180" spans="1:4">
      <c r="A180" t="s">
        <v>3765</v>
      </c>
      <c r="B180" t="s">
        <v>47</v>
      </c>
      <c r="C180" t="s">
        <v>3403</v>
      </c>
      <c r="D180" t="s">
        <v>3768</v>
      </c>
    </row>
    <row r="181" spans="1:4">
      <c r="A181" t="s">
        <v>3765</v>
      </c>
      <c r="B181" t="s">
        <v>47</v>
      </c>
      <c r="C181" t="s">
        <v>3742</v>
      </c>
      <c r="D181" t="s">
        <v>3769</v>
      </c>
    </row>
    <row r="182" spans="1:4">
      <c r="A182" t="s">
        <v>3770</v>
      </c>
      <c r="B182" t="s">
        <v>47</v>
      </c>
      <c r="C182" t="s">
        <v>3771</v>
      </c>
      <c r="D182" t="s">
        <v>3772</v>
      </c>
    </row>
    <row r="183" spans="1:4">
      <c r="A183" t="s">
        <v>3773</v>
      </c>
      <c r="B183" t="s">
        <v>35</v>
      </c>
      <c r="C183" t="s">
        <v>3774</v>
      </c>
      <c r="D183" t="s">
        <v>3775</v>
      </c>
    </row>
    <row r="184" spans="1:4">
      <c r="A184" t="s">
        <v>3776</v>
      </c>
      <c r="B184" t="s">
        <v>35</v>
      </c>
      <c r="C184" t="s">
        <v>3502</v>
      </c>
      <c r="D184" t="s">
        <v>3777</v>
      </c>
    </row>
    <row r="185" spans="1:4">
      <c r="A185" t="s">
        <v>3778</v>
      </c>
      <c r="B185" t="s">
        <v>41</v>
      </c>
      <c r="C185" t="s">
        <v>3572</v>
      </c>
      <c r="D185" t="s">
        <v>3779</v>
      </c>
    </row>
    <row r="186" spans="1:4">
      <c r="A186" t="s">
        <v>3780</v>
      </c>
      <c r="B186" t="s">
        <v>39</v>
      </c>
      <c r="C186" t="s">
        <v>3781</v>
      </c>
      <c r="D186" t="s">
        <v>3782</v>
      </c>
    </row>
    <row r="187" spans="1:4">
      <c r="A187" t="s">
        <v>3783</v>
      </c>
      <c r="B187" t="s">
        <v>67</v>
      </c>
      <c r="C187" t="s">
        <v>3784</v>
      </c>
      <c r="D187" t="s">
        <v>3785</v>
      </c>
    </row>
    <row r="188" spans="1:4">
      <c r="A188" t="s">
        <v>3786</v>
      </c>
      <c r="B188" t="s">
        <v>33</v>
      </c>
      <c r="C188" t="s">
        <v>3787</v>
      </c>
      <c r="D188" t="s">
        <v>3788</v>
      </c>
    </row>
    <row r="189" spans="1:4">
      <c r="A189" t="s">
        <v>3789</v>
      </c>
      <c r="B189" t="s">
        <v>39</v>
      </c>
      <c r="C189" t="s">
        <v>3790</v>
      </c>
      <c r="D189" t="s">
        <v>3791</v>
      </c>
    </row>
    <row r="190" spans="1:4">
      <c r="A190" t="s">
        <v>3792</v>
      </c>
      <c r="B190" t="s">
        <v>39</v>
      </c>
      <c r="C190" t="s">
        <v>3379</v>
      </c>
      <c r="D190" t="s">
        <v>3793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D976-A3CA-410C-8CB0-D4F225058B21}">
  <dimension ref="A1:D116"/>
  <sheetViews>
    <sheetView workbookViewId="0">
      <selection activeCell="C18" sqref="C18"/>
    </sheetView>
  </sheetViews>
  <sheetFormatPr defaultRowHeight="14.45"/>
  <cols>
    <col min="1" max="1" width="40.5703125" bestFit="1" customWidth="1"/>
    <col min="2" max="2" width="10" bestFit="1" customWidth="1"/>
    <col min="3" max="3" width="80.85546875" bestFit="1" customWidth="1"/>
    <col min="4" max="4" width="30.42578125" bestFit="1" customWidth="1"/>
  </cols>
  <sheetData>
    <row r="1" spans="1:4">
      <c r="A1" t="s">
        <v>3355</v>
      </c>
      <c r="B1" t="s">
        <v>1</v>
      </c>
      <c r="C1" t="s">
        <v>3356</v>
      </c>
      <c r="D1" t="s">
        <v>3794</v>
      </c>
    </row>
    <row r="2" spans="1:4">
      <c r="A2" t="s">
        <v>3376</v>
      </c>
      <c r="B2" t="s">
        <v>157</v>
      </c>
      <c r="C2" t="s">
        <v>3795</v>
      </c>
      <c r="D2" t="s">
        <v>3796</v>
      </c>
    </row>
    <row r="3" spans="1:4">
      <c r="A3" t="s">
        <v>3386</v>
      </c>
      <c r="B3" t="s">
        <v>35</v>
      </c>
      <c r="C3" t="s">
        <v>3797</v>
      </c>
      <c r="D3" t="s">
        <v>3798</v>
      </c>
    </row>
    <row r="4" spans="1:4">
      <c r="A4" t="s">
        <v>3799</v>
      </c>
      <c r="B4" t="s">
        <v>47</v>
      </c>
      <c r="C4" t="s">
        <v>3800</v>
      </c>
      <c r="D4" t="s">
        <v>3801</v>
      </c>
    </row>
    <row r="5" spans="1:4">
      <c r="A5" t="s">
        <v>3399</v>
      </c>
      <c r="B5" t="s">
        <v>39</v>
      </c>
      <c r="C5" t="s">
        <v>3802</v>
      </c>
      <c r="D5" t="s">
        <v>3803</v>
      </c>
    </row>
    <row r="6" spans="1:4">
      <c r="A6" t="s">
        <v>3804</v>
      </c>
      <c r="B6" t="s">
        <v>41</v>
      </c>
      <c r="C6" t="s">
        <v>3805</v>
      </c>
      <c r="D6" t="s">
        <v>3806</v>
      </c>
    </row>
    <row r="7" spans="1:4">
      <c r="A7" t="s">
        <v>3410</v>
      </c>
      <c r="B7" t="s">
        <v>157</v>
      </c>
      <c r="C7" t="s">
        <v>3807</v>
      </c>
      <c r="D7" t="s">
        <v>3808</v>
      </c>
    </row>
    <row r="8" spans="1:4">
      <c r="A8" t="s">
        <v>3414</v>
      </c>
      <c r="B8" t="s">
        <v>35</v>
      </c>
      <c r="C8" t="s">
        <v>3809</v>
      </c>
      <c r="D8" t="s">
        <v>3810</v>
      </c>
    </row>
    <row r="9" spans="1:4">
      <c r="A9" t="s">
        <v>3414</v>
      </c>
      <c r="B9" t="s">
        <v>35</v>
      </c>
      <c r="C9" t="s">
        <v>3811</v>
      </c>
      <c r="D9" t="s">
        <v>3812</v>
      </c>
    </row>
    <row r="10" spans="1:4">
      <c r="A10" t="s">
        <v>3414</v>
      </c>
      <c r="B10" t="s">
        <v>35</v>
      </c>
      <c r="C10" t="s">
        <v>3813</v>
      </c>
      <c r="D10" t="s">
        <v>3814</v>
      </c>
    </row>
    <row r="11" spans="1:4">
      <c r="A11" t="s">
        <v>3815</v>
      </c>
      <c r="B11" t="s">
        <v>44</v>
      </c>
      <c r="C11" t="s">
        <v>3816</v>
      </c>
      <c r="D11" t="s">
        <v>3817</v>
      </c>
    </row>
    <row r="12" spans="1:4">
      <c r="A12" t="s">
        <v>3815</v>
      </c>
      <c r="B12" t="s">
        <v>44</v>
      </c>
      <c r="C12" t="s">
        <v>3818</v>
      </c>
      <c r="D12" t="s">
        <v>3819</v>
      </c>
    </row>
    <row r="13" spans="1:4">
      <c r="A13" t="s">
        <v>3815</v>
      </c>
      <c r="B13" t="s">
        <v>44</v>
      </c>
      <c r="C13" t="s">
        <v>3820</v>
      </c>
      <c r="D13" t="s">
        <v>3821</v>
      </c>
    </row>
    <row r="14" spans="1:4">
      <c r="A14" t="s">
        <v>3822</v>
      </c>
      <c r="B14" t="s">
        <v>39</v>
      </c>
      <c r="C14" t="s">
        <v>3823</v>
      </c>
      <c r="D14" t="s">
        <v>3824</v>
      </c>
    </row>
    <row r="15" spans="1:4">
      <c r="A15" t="s">
        <v>3822</v>
      </c>
      <c r="B15" t="s">
        <v>39</v>
      </c>
      <c r="C15" t="s">
        <v>3825</v>
      </c>
      <c r="D15" t="s">
        <v>3826</v>
      </c>
    </row>
    <row r="16" spans="1:4">
      <c r="A16" t="s">
        <v>3822</v>
      </c>
      <c r="B16" t="s">
        <v>39</v>
      </c>
      <c r="C16" t="s">
        <v>3827</v>
      </c>
      <c r="D16" t="s">
        <v>3828</v>
      </c>
    </row>
    <row r="17" spans="1:4">
      <c r="A17" t="s">
        <v>3822</v>
      </c>
      <c r="B17" t="s">
        <v>39</v>
      </c>
      <c r="C17" t="s">
        <v>3829</v>
      </c>
      <c r="D17" t="s">
        <v>3830</v>
      </c>
    </row>
    <row r="18" spans="1:4">
      <c r="A18" t="s">
        <v>3822</v>
      </c>
      <c r="B18" t="s">
        <v>39</v>
      </c>
      <c r="C18" t="s">
        <v>3831</v>
      </c>
      <c r="D18" t="s">
        <v>3832</v>
      </c>
    </row>
    <row r="19" spans="1:4">
      <c r="A19" t="s">
        <v>3822</v>
      </c>
      <c r="B19" t="s">
        <v>39</v>
      </c>
      <c r="C19" t="s">
        <v>3833</v>
      </c>
      <c r="D19" t="s">
        <v>3834</v>
      </c>
    </row>
    <row r="20" spans="1:4">
      <c r="A20" t="s">
        <v>3835</v>
      </c>
      <c r="B20" t="s">
        <v>157</v>
      </c>
      <c r="C20" t="s">
        <v>3836</v>
      </c>
      <c r="D20" t="s">
        <v>3837</v>
      </c>
    </row>
    <row r="21" spans="1:4">
      <c r="A21" t="s">
        <v>3435</v>
      </c>
      <c r="B21" t="s">
        <v>35</v>
      </c>
      <c r="C21" t="s">
        <v>3838</v>
      </c>
      <c r="D21" t="s">
        <v>3839</v>
      </c>
    </row>
    <row r="22" spans="1:4">
      <c r="A22" t="s">
        <v>3840</v>
      </c>
      <c r="B22" t="s">
        <v>67</v>
      </c>
      <c r="C22" t="s">
        <v>3841</v>
      </c>
      <c r="D22" t="s">
        <v>3842</v>
      </c>
    </row>
    <row r="23" spans="1:4">
      <c r="A23" t="s">
        <v>3443</v>
      </c>
      <c r="B23" t="s">
        <v>67</v>
      </c>
      <c r="C23" t="s">
        <v>3843</v>
      </c>
      <c r="D23" t="s">
        <v>3844</v>
      </c>
    </row>
    <row r="24" spans="1:4">
      <c r="A24" t="s">
        <v>3455</v>
      </c>
      <c r="B24" t="s">
        <v>35</v>
      </c>
      <c r="C24" t="s">
        <v>3845</v>
      </c>
      <c r="D24" t="s">
        <v>3846</v>
      </c>
    </row>
    <row r="25" spans="1:4">
      <c r="A25" t="s">
        <v>3847</v>
      </c>
      <c r="B25" t="s">
        <v>41</v>
      </c>
      <c r="C25" t="s">
        <v>3848</v>
      </c>
      <c r="D25" t="s">
        <v>3849</v>
      </c>
    </row>
    <row r="26" spans="1:4">
      <c r="A26" t="s">
        <v>3850</v>
      </c>
      <c r="B26" t="s">
        <v>33</v>
      </c>
      <c r="C26" t="s">
        <v>3851</v>
      </c>
      <c r="D26" t="s">
        <v>3476</v>
      </c>
    </row>
    <row r="27" spans="1:4">
      <c r="A27" t="s">
        <v>3852</v>
      </c>
      <c r="B27" t="s">
        <v>47</v>
      </c>
      <c r="C27" t="s">
        <v>3823</v>
      </c>
      <c r="D27" t="s">
        <v>3853</v>
      </c>
    </row>
    <row r="28" spans="1:4">
      <c r="A28" t="s">
        <v>3854</v>
      </c>
      <c r="B28" t="s">
        <v>39</v>
      </c>
      <c r="C28" t="s">
        <v>3855</v>
      </c>
      <c r="D28" t="s">
        <v>3476</v>
      </c>
    </row>
    <row r="29" spans="1:4">
      <c r="A29" t="s">
        <v>3856</v>
      </c>
      <c r="B29" t="s">
        <v>35</v>
      </c>
      <c r="C29" t="s">
        <v>3857</v>
      </c>
      <c r="D29" t="s">
        <v>3858</v>
      </c>
    </row>
    <row r="30" spans="1:4">
      <c r="A30" t="s">
        <v>3859</v>
      </c>
      <c r="B30" t="s">
        <v>61</v>
      </c>
      <c r="C30" t="s">
        <v>3860</v>
      </c>
      <c r="D30" t="s">
        <v>3861</v>
      </c>
    </row>
    <row r="31" spans="1:4">
      <c r="A31" t="s">
        <v>3862</v>
      </c>
      <c r="B31" t="s">
        <v>41</v>
      </c>
      <c r="C31" t="s">
        <v>3863</v>
      </c>
      <c r="D31" t="s">
        <v>3864</v>
      </c>
    </row>
    <row r="32" spans="1:4">
      <c r="A32" t="s">
        <v>3865</v>
      </c>
      <c r="B32" t="s">
        <v>35</v>
      </c>
      <c r="C32" t="s">
        <v>3866</v>
      </c>
      <c r="D32" t="s">
        <v>3867</v>
      </c>
    </row>
    <row r="33" spans="1:4">
      <c r="A33" t="s">
        <v>3868</v>
      </c>
      <c r="B33" t="s">
        <v>35</v>
      </c>
      <c r="C33" t="s">
        <v>3869</v>
      </c>
      <c r="D33" t="s">
        <v>3870</v>
      </c>
    </row>
    <row r="34" spans="1:4">
      <c r="A34" t="s">
        <v>3868</v>
      </c>
      <c r="B34" t="s">
        <v>35</v>
      </c>
      <c r="C34" t="s">
        <v>3871</v>
      </c>
      <c r="D34" t="s">
        <v>3872</v>
      </c>
    </row>
    <row r="35" spans="1:4">
      <c r="A35" t="s">
        <v>3873</v>
      </c>
      <c r="B35" t="s">
        <v>44</v>
      </c>
      <c r="C35" t="s">
        <v>3874</v>
      </c>
      <c r="D35" t="s">
        <v>3875</v>
      </c>
    </row>
    <row r="36" spans="1:4">
      <c r="A36" t="s">
        <v>3873</v>
      </c>
      <c r="B36" t="s">
        <v>44</v>
      </c>
      <c r="C36" t="s">
        <v>3876</v>
      </c>
      <c r="D36" t="s">
        <v>3877</v>
      </c>
    </row>
    <row r="37" spans="1:4">
      <c r="A37" t="s">
        <v>3873</v>
      </c>
      <c r="B37" t="s">
        <v>44</v>
      </c>
      <c r="C37" t="s">
        <v>3878</v>
      </c>
      <c r="D37" t="s">
        <v>3879</v>
      </c>
    </row>
    <row r="38" spans="1:4">
      <c r="A38" t="s">
        <v>3508</v>
      </c>
      <c r="B38" t="s">
        <v>35</v>
      </c>
      <c r="C38" t="s">
        <v>3880</v>
      </c>
      <c r="D38" t="s">
        <v>3632</v>
      </c>
    </row>
    <row r="39" spans="1:4">
      <c r="A39" t="s">
        <v>3514</v>
      </c>
      <c r="B39" t="s">
        <v>331</v>
      </c>
      <c r="C39" t="s">
        <v>3823</v>
      </c>
      <c r="D39" t="s">
        <v>3881</v>
      </c>
    </row>
    <row r="40" spans="1:4">
      <c r="A40" t="s">
        <v>3882</v>
      </c>
      <c r="B40" t="s">
        <v>39</v>
      </c>
      <c r="C40" t="s">
        <v>3883</v>
      </c>
      <c r="D40" t="s">
        <v>3884</v>
      </c>
    </row>
    <row r="41" spans="1:4">
      <c r="A41" t="s">
        <v>3885</v>
      </c>
      <c r="B41" t="s">
        <v>47</v>
      </c>
      <c r="C41" t="s">
        <v>3886</v>
      </c>
      <c r="D41" t="s">
        <v>3887</v>
      </c>
    </row>
    <row r="42" spans="1:4">
      <c r="A42" t="s">
        <v>3888</v>
      </c>
      <c r="B42" t="s">
        <v>157</v>
      </c>
      <c r="C42" t="s">
        <v>3889</v>
      </c>
      <c r="D42" t="s">
        <v>3580</v>
      </c>
    </row>
    <row r="43" spans="1:4">
      <c r="A43" t="s">
        <v>3890</v>
      </c>
      <c r="B43" t="s">
        <v>47</v>
      </c>
      <c r="C43" t="s">
        <v>3891</v>
      </c>
      <c r="D43" t="s">
        <v>3892</v>
      </c>
    </row>
    <row r="44" spans="1:4">
      <c r="A44" t="s">
        <v>3893</v>
      </c>
      <c r="B44" t="s">
        <v>41</v>
      </c>
      <c r="C44" t="s">
        <v>3894</v>
      </c>
      <c r="D44" t="s">
        <v>3895</v>
      </c>
    </row>
    <row r="45" spans="1:4">
      <c r="A45" t="s">
        <v>3896</v>
      </c>
      <c r="B45" t="s">
        <v>65</v>
      </c>
      <c r="C45" t="s">
        <v>3897</v>
      </c>
      <c r="D45" t="s">
        <v>3898</v>
      </c>
    </row>
    <row r="46" spans="1:4">
      <c r="A46" t="s">
        <v>3899</v>
      </c>
      <c r="B46" t="s">
        <v>47</v>
      </c>
      <c r="C46" t="s">
        <v>3900</v>
      </c>
      <c r="D46" t="s">
        <v>3901</v>
      </c>
    </row>
    <row r="47" spans="1:4">
      <c r="A47" t="s">
        <v>3576</v>
      </c>
      <c r="B47" t="s">
        <v>39</v>
      </c>
      <c r="C47" t="s">
        <v>3902</v>
      </c>
      <c r="D47" t="s">
        <v>3817</v>
      </c>
    </row>
    <row r="48" spans="1:4">
      <c r="A48" t="s">
        <v>91</v>
      </c>
      <c r="B48" t="s">
        <v>39</v>
      </c>
      <c r="C48" t="s">
        <v>3903</v>
      </c>
      <c r="D48" t="s">
        <v>3904</v>
      </c>
    </row>
    <row r="49" spans="1:4">
      <c r="A49" t="s">
        <v>3905</v>
      </c>
      <c r="B49" t="s">
        <v>39</v>
      </c>
      <c r="C49" t="s">
        <v>3855</v>
      </c>
      <c r="D49" t="s">
        <v>3476</v>
      </c>
    </row>
    <row r="50" spans="1:4">
      <c r="A50" t="s">
        <v>3906</v>
      </c>
      <c r="B50" t="s">
        <v>39</v>
      </c>
      <c r="C50" t="s">
        <v>3907</v>
      </c>
      <c r="D50" t="s">
        <v>3908</v>
      </c>
    </row>
    <row r="51" spans="1:4">
      <c r="A51" t="s">
        <v>3906</v>
      </c>
      <c r="B51" t="s">
        <v>39</v>
      </c>
      <c r="C51" t="s">
        <v>3909</v>
      </c>
      <c r="D51" t="s">
        <v>3910</v>
      </c>
    </row>
    <row r="52" spans="1:4">
      <c r="A52" t="s">
        <v>3906</v>
      </c>
      <c r="B52" t="s">
        <v>39</v>
      </c>
      <c r="C52" t="s">
        <v>3911</v>
      </c>
      <c r="D52" t="s">
        <v>3912</v>
      </c>
    </row>
    <row r="53" spans="1:4">
      <c r="A53" t="s">
        <v>3626</v>
      </c>
      <c r="B53" t="s">
        <v>158</v>
      </c>
      <c r="C53" t="s">
        <v>3913</v>
      </c>
      <c r="D53" t="s">
        <v>3914</v>
      </c>
    </row>
    <row r="54" spans="1:4">
      <c r="A54" t="s">
        <v>3630</v>
      </c>
      <c r="B54" t="s">
        <v>158</v>
      </c>
      <c r="C54" t="s">
        <v>3915</v>
      </c>
      <c r="D54" t="s">
        <v>3916</v>
      </c>
    </row>
    <row r="55" spans="1:4">
      <c r="A55" t="s">
        <v>3636</v>
      </c>
      <c r="B55" t="s">
        <v>35</v>
      </c>
      <c r="C55" t="s">
        <v>3823</v>
      </c>
      <c r="D55" t="s">
        <v>3917</v>
      </c>
    </row>
    <row r="56" spans="1:4">
      <c r="A56" t="s">
        <v>3918</v>
      </c>
      <c r="B56" t="s">
        <v>47</v>
      </c>
      <c r="C56" t="s">
        <v>3919</v>
      </c>
      <c r="D56" t="s">
        <v>3920</v>
      </c>
    </row>
    <row r="57" spans="1:4">
      <c r="A57" t="s">
        <v>3918</v>
      </c>
      <c r="B57" t="s">
        <v>47</v>
      </c>
      <c r="C57" t="s">
        <v>3921</v>
      </c>
      <c r="D57" t="s">
        <v>3922</v>
      </c>
    </row>
    <row r="58" spans="1:4">
      <c r="A58" t="s">
        <v>3918</v>
      </c>
      <c r="B58" t="s">
        <v>47</v>
      </c>
      <c r="C58" t="s">
        <v>3923</v>
      </c>
      <c r="D58" t="s">
        <v>3924</v>
      </c>
    </row>
    <row r="59" spans="1:4">
      <c r="A59" t="s">
        <v>3925</v>
      </c>
      <c r="B59" t="s">
        <v>39</v>
      </c>
      <c r="C59" t="s">
        <v>3926</v>
      </c>
      <c r="D59" t="s">
        <v>3927</v>
      </c>
    </row>
    <row r="60" spans="1:4">
      <c r="A60" t="s">
        <v>3925</v>
      </c>
      <c r="B60" t="s">
        <v>39</v>
      </c>
      <c r="C60" t="s">
        <v>3928</v>
      </c>
      <c r="D60" t="s">
        <v>3929</v>
      </c>
    </row>
    <row r="61" spans="1:4">
      <c r="A61" t="s">
        <v>3925</v>
      </c>
      <c r="B61" t="s">
        <v>39</v>
      </c>
      <c r="C61" t="s">
        <v>3903</v>
      </c>
      <c r="D61" t="s">
        <v>3930</v>
      </c>
    </row>
    <row r="62" spans="1:4">
      <c r="A62" t="s">
        <v>3931</v>
      </c>
      <c r="B62" t="s">
        <v>67</v>
      </c>
      <c r="C62" t="s">
        <v>3932</v>
      </c>
      <c r="D62" t="s">
        <v>3933</v>
      </c>
    </row>
    <row r="63" spans="1:4">
      <c r="A63" t="s">
        <v>3934</v>
      </c>
      <c r="B63" t="s">
        <v>157</v>
      </c>
      <c r="C63" t="s">
        <v>3935</v>
      </c>
      <c r="D63" t="s">
        <v>3936</v>
      </c>
    </row>
    <row r="64" spans="1:4">
      <c r="A64" t="s">
        <v>3937</v>
      </c>
      <c r="B64" t="s">
        <v>35</v>
      </c>
      <c r="C64" t="s">
        <v>3938</v>
      </c>
      <c r="D64" t="s">
        <v>3939</v>
      </c>
    </row>
    <row r="65" spans="1:4">
      <c r="A65" t="s">
        <v>3940</v>
      </c>
      <c r="B65" t="s">
        <v>39</v>
      </c>
      <c r="C65" t="s">
        <v>3891</v>
      </c>
      <c r="D65" t="s">
        <v>3941</v>
      </c>
    </row>
    <row r="66" spans="1:4">
      <c r="A66" t="s">
        <v>3942</v>
      </c>
      <c r="B66" t="s">
        <v>35</v>
      </c>
      <c r="C66" t="s">
        <v>3943</v>
      </c>
      <c r="D66" t="s">
        <v>3944</v>
      </c>
    </row>
    <row r="67" spans="1:4">
      <c r="A67" t="s">
        <v>3945</v>
      </c>
      <c r="B67" t="s">
        <v>41</v>
      </c>
      <c r="C67" t="s">
        <v>3946</v>
      </c>
      <c r="D67" t="s">
        <v>3947</v>
      </c>
    </row>
    <row r="68" spans="1:4">
      <c r="A68" t="s">
        <v>3661</v>
      </c>
      <c r="B68" t="s">
        <v>33</v>
      </c>
      <c r="C68" t="s">
        <v>3948</v>
      </c>
      <c r="D68" t="s">
        <v>3949</v>
      </c>
    </row>
    <row r="69" spans="1:4">
      <c r="A69" t="s">
        <v>3664</v>
      </c>
      <c r="B69" t="s">
        <v>39</v>
      </c>
      <c r="C69" t="s">
        <v>3950</v>
      </c>
      <c r="D69" t="s">
        <v>3951</v>
      </c>
    </row>
    <row r="70" spans="1:4">
      <c r="A70" t="s">
        <v>3680</v>
      </c>
      <c r="B70" t="s">
        <v>777</v>
      </c>
      <c r="C70" t="s">
        <v>3823</v>
      </c>
      <c r="D70" t="s">
        <v>3952</v>
      </c>
    </row>
    <row r="71" spans="1:4">
      <c r="A71" t="s">
        <v>3680</v>
      </c>
      <c r="B71" t="s">
        <v>777</v>
      </c>
      <c r="C71" t="s">
        <v>3953</v>
      </c>
      <c r="D71" t="s">
        <v>3954</v>
      </c>
    </row>
    <row r="72" spans="1:4">
      <c r="A72" t="s">
        <v>3680</v>
      </c>
      <c r="B72" t="s">
        <v>777</v>
      </c>
      <c r="C72" t="s">
        <v>3955</v>
      </c>
      <c r="D72" t="s">
        <v>3956</v>
      </c>
    </row>
    <row r="73" spans="1:4">
      <c r="A73" t="s">
        <v>3680</v>
      </c>
      <c r="B73" t="s">
        <v>777</v>
      </c>
      <c r="C73" t="s">
        <v>3957</v>
      </c>
      <c r="D73" t="s">
        <v>3958</v>
      </c>
    </row>
    <row r="74" spans="1:4">
      <c r="A74" t="s">
        <v>3680</v>
      </c>
      <c r="B74" t="s">
        <v>777</v>
      </c>
      <c r="C74" t="s">
        <v>3959</v>
      </c>
      <c r="D74" t="s">
        <v>3960</v>
      </c>
    </row>
    <row r="75" spans="1:4">
      <c r="A75" t="s">
        <v>3961</v>
      </c>
      <c r="B75" t="s">
        <v>331</v>
      </c>
      <c r="C75" t="s">
        <v>3962</v>
      </c>
      <c r="D75" t="s">
        <v>3963</v>
      </c>
    </row>
    <row r="76" spans="1:4">
      <c r="A76" t="s">
        <v>3694</v>
      </c>
      <c r="B76" t="s">
        <v>65</v>
      </c>
      <c r="C76" t="s">
        <v>3964</v>
      </c>
      <c r="D76" t="s">
        <v>3965</v>
      </c>
    </row>
    <row r="77" spans="1:4">
      <c r="A77" t="s">
        <v>3694</v>
      </c>
      <c r="B77" t="s">
        <v>65</v>
      </c>
      <c r="C77" t="s">
        <v>3957</v>
      </c>
      <c r="D77" t="s">
        <v>3966</v>
      </c>
    </row>
    <row r="78" spans="1:4">
      <c r="A78" t="s">
        <v>3694</v>
      </c>
      <c r="B78" t="s">
        <v>65</v>
      </c>
      <c r="C78" t="s">
        <v>3967</v>
      </c>
      <c r="D78" t="s">
        <v>3968</v>
      </c>
    </row>
    <row r="79" spans="1:4">
      <c r="A79" t="s">
        <v>3969</v>
      </c>
      <c r="B79" t="s">
        <v>47</v>
      </c>
      <c r="C79" t="s">
        <v>3970</v>
      </c>
      <c r="D79" t="s">
        <v>3971</v>
      </c>
    </row>
    <row r="80" spans="1:4">
      <c r="A80" t="s">
        <v>3713</v>
      </c>
      <c r="B80" t="s">
        <v>65</v>
      </c>
      <c r="C80" t="s">
        <v>3823</v>
      </c>
      <c r="D80" t="s">
        <v>3972</v>
      </c>
    </row>
    <row r="81" spans="1:4">
      <c r="A81" t="s">
        <v>3713</v>
      </c>
      <c r="B81" t="s">
        <v>65</v>
      </c>
      <c r="C81" t="s">
        <v>3973</v>
      </c>
      <c r="D81" t="s">
        <v>3974</v>
      </c>
    </row>
    <row r="82" spans="1:4">
      <c r="A82" t="s">
        <v>3713</v>
      </c>
      <c r="B82" t="s">
        <v>65</v>
      </c>
      <c r="C82" t="s">
        <v>3975</v>
      </c>
      <c r="D82" t="s">
        <v>3976</v>
      </c>
    </row>
    <row r="83" spans="1:4">
      <c r="A83" t="s">
        <v>3977</v>
      </c>
      <c r="B83" t="s">
        <v>75</v>
      </c>
      <c r="C83" t="s">
        <v>3978</v>
      </c>
      <c r="D83" t="s">
        <v>3654</v>
      </c>
    </row>
    <row r="84" spans="1:4">
      <c r="A84" t="s">
        <v>3717</v>
      </c>
      <c r="B84" t="s">
        <v>35</v>
      </c>
      <c r="C84" t="s">
        <v>3979</v>
      </c>
      <c r="D84" t="s">
        <v>3980</v>
      </c>
    </row>
    <row r="85" spans="1:4">
      <c r="A85" t="s">
        <v>3719</v>
      </c>
      <c r="B85" t="s">
        <v>35</v>
      </c>
      <c r="C85" t="s">
        <v>3981</v>
      </c>
      <c r="D85" t="s">
        <v>3982</v>
      </c>
    </row>
    <row r="86" spans="1:4">
      <c r="A86" t="s">
        <v>3983</v>
      </c>
      <c r="B86" t="s">
        <v>331</v>
      </c>
      <c r="C86" t="s">
        <v>3984</v>
      </c>
      <c r="D86" t="s">
        <v>3985</v>
      </c>
    </row>
    <row r="87" spans="1:4">
      <c r="A87" t="s">
        <v>3986</v>
      </c>
      <c r="B87" t="s">
        <v>39</v>
      </c>
      <c r="C87" t="s">
        <v>3987</v>
      </c>
      <c r="D87" t="s">
        <v>3988</v>
      </c>
    </row>
    <row r="88" spans="1:4">
      <c r="A88" t="s">
        <v>3986</v>
      </c>
      <c r="B88" t="s">
        <v>39</v>
      </c>
      <c r="C88" t="s">
        <v>3923</v>
      </c>
      <c r="D88" t="s">
        <v>3989</v>
      </c>
    </row>
    <row r="89" spans="1:4">
      <c r="A89" t="s">
        <v>3724</v>
      </c>
      <c r="B89" t="s">
        <v>157</v>
      </c>
      <c r="C89" t="s">
        <v>3990</v>
      </c>
      <c r="D89" t="s">
        <v>3991</v>
      </c>
    </row>
    <row r="90" spans="1:4">
      <c r="A90" t="s">
        <v>3992</v>
      </c>
      <c r="B90" t="s">
        <v>67</v>
      </c>
      <c r="C90" t="s">
        <v>3823</v>
      </c>
      <c r="D90" t="s">
        <v>3993</v>
      </c>
    </row>
    <row r="91" spans="1:4">
      <c r="A91" t="s">
        <v>3994</v>
      </c>
      <c r="B91" t="s">
        <v>39</v>
      </c>
      <c r="C91" t="s">
        <v>3926</v>
      </c>
      <c r="D91" t="s">
        <v>3995</v>
      </c>
    </row>
    <row r="92" spans="1:4">
      <c r="A92" t="s">
        <v>3994</v>
      </c>
      <c r="B92" t="s">
        <v>39</v>
      </c>
      <c r="C92" t="s">
        <v>3928</v>
      </c>
      <c r="D92" t="s">
        <v>3995</v>
      </c>
    </row>
    <row r="93" spans="1:4">
      <c r="A93" t="s">
        <v>3996</v>
      </c>
      <c r="B93" t="s">
        <v>39</v>
      </c>
      <c r="C93" t="s">
        <v>3997</v>
      </c>
      <c r="D93" t="s">
        <v>3998</v>
      </c>
    </row>
    <row r="94" spans="1:4">
      <c r="A94" t="s">
        <v>3999</v>
      </c>
      <c r="B94" t="s">
        <v>44</v>
      </c>
      <c r="C94" t="s">
        <v>3823</v>
      </c>
      <c r="D94" t="s">
        <v>4000</v>
      </c>
    </row>
    <row r="95" spans="1:4">
      <c r="A95" t="s">
        <v>3999</v>
      </c>
      <c r="B95" t="s">
        <v>44</v>
      </c>
      <c r="C95" t="s">
        <v>4001</v>
      </c>
      <c r="D95" t="s">
        <v>4002</v>
      </c>
    </row>
    <row r="96" spans="1:4">
      <c r="A96" t="s">
        <v>3999</v>
      </c>
      <c r="B96" t="s">
        <v>44</v>
      </c>
      <c r="C96" t="s">
        <v>4003</v>
      </c>
      <c r="D96" t="s">
        <v>4004</v>
      </c>
    </row>
    <row r="97" spans="1:4">
      <c r="A97" t="s">
        <v>3759</v>
      </c>
      <c r="B97" t="s">
        <v>35</v>
      </c>
      <c r="C97" t="s">
        <v>4005</v>
      </c>
      <c r="D97" t="s">
        <v>4006</v>
      </c>
    </row>
    <row r="98" spans="1:4">
      <c r="A98" t="s">
        <v>3759</v>
      </c>
      <c r="B98" t="s">
        <v>35</v>
      </c>
      <c r="C98" t="s">
        <v>4007</v>
      </c>
      <c r="D98" t="s">
        <v>4008</v>
      </c>
    </row>
    <row r="99" spans="1:4">
      <c r="A99" t="s">
        <v>3759</v>
      </c>
      <c r="B99" t="s">
        <v>35</v>
      </c>
      <c r="C99" t="s">
        <v>4009</v>
      </c>
      <c r="D99" t="s">
        <v>4010</v>
      </c>
    </row>
    <row r="100" spans="1:4">
      <c r="A100" t="s">
        <v>4011</v>
      </c>
      <c r="B100" t="s">
        <v>47</v>
      </c>
      <c r="C100" t="s">
        <v>4012</v>
      </c>
      <c r="D100" t="s">
        <v>4013</v>
      </c>
    </row>
    <row r="101" spans="1:4">
      <c r="A101" t="s">
        <v>4011</v>
      </c>
      <c r="B101" t="s">
        <v>47</v>
      </c>
      <c r="C101" t="s">
        <v>3823</v>
      </c>
      <c r="D101" t="s">
        <v>4014</v>
      </c>
    </row>
    <row r="102" spans="1:4">
      <c r="A102" t="s">
        <v>4011</v>
      </c>
      <c r="B102" t="s">
        <v>47</v>
      </c>
      <c r="C102" t="s">
        <v>4015</v>
      </c>
      <c r="D102" t="s">
        <v>4016</v>
      </c>
    </row>
    <row r="103" spans="1:4">
      <c r="A103" t="s">
        <v>4011</v>
      </c>
      <c r="B103" t="s">
        <v>47</v>
      </c>
      <c r="C103" t="s">
        <v>4017</v>
      </c>
      <c r="D103" t="s">
        <v>3858</v>
      </c>
    </row>
    <row r="104" spans="1:4">
      <c r="A104" t="s">
        <v>4011</v>
      </c>
      <c r="B104" t="s">
        <v>47</v>
      </c>
      <c r="C104" t="s">
        <v>4018</v>
      </c>
      <c r="D104" t="s">
        <v>4019</v>
      </c>
    </row>
    <row r="105" spans="1:4">
      <c r="A105" t="s">
        <v>3778</v>
      </c>
      <c r="B105" t="s">
        <v>41</v>
      </c>
      <c r="C105" t="s">
        <v>4020</v>
      </c>
      <c r="D105" t="s">
        <v>4021</v>
      </c>
    </row>
    <row r="106" spans="1:4">
      <c r="A106" t="s">
        <v>3778</v>
      </c>
      <c r="B106" t="s">
        <v>41</v>
      </c>
      <c r="C106" t="s">
        <v>4022</v>
      </c>
      <c r="D106" t="s">
        <v>4023</v>
      </c>
    </row>
    <row r="107" spans="1:4">
      <c r="A107" t="s">
        <v>3778</v>
      </c>
      <c r="B107" t="s">
        <v>41</v>
      </c>
      <c r="C107" t="s">
        <v>4024</v>
      </c>
      <c r="D107" t="s">
        <v>4025</v>
      </c>
    </row>
    <row r="108" spans="1:4">
      <c r="A108" t="s">
        <v>3780</v>
      </c>
      <c r="B108" t="s">
        <v>39</v>
      </c>
      <c r="C108" t="s">
        <v>4026</v>
      </c>
      <c r="D108" t="s">
        <v>4027</v>
      </c>
    </row>
    <row r="109" spans="1:4">
      <c r="A109" t="s">
        <v>3780</v>
      </c>
      <c r="B109" t="s">
        <v>39</v>
      </c>
      <c r="C109" t="s">
        <v>4028</v>
      </c>
      <c r="D109" t="s">
        <v>4029</v>
      </c>
    </row>
    <row r="110" spans="1:4">
      <c r="A110" t="s">
        <v>3780</v>
      </c>
      <c r="B110" t="s">
        <v>39</v>
      </c>
      <c r="C110" t="s">
        <v>4030</v>
      </c>
      <c r="D110" t="s">
        <v>4031</v>
      </c>
    </row>
    <row r="111" spans="1:4">
      <c r="A111" t="s">
        <v>4032</v>
      </c>
      <c r="B111" t="s">
        <v>39</v>
      </c>
      <c r="C111" t="s">
        <v>4033</v>
      </c>
      <c r="D111" t="s">
        <v>4034</v>
      </c>
    </row>
    <row r="112" spans="1:4">
      <c r="A112" t="s">
        <v>4035</v>
      </c>
      <c r="B112" t="s">
        <v>33</v>
      </c>
      <c r="C112" t="s">
        <v>4036</v>
      </c>
      <c r="D112" t="s">
        <v>3817</v>
      </c>
    </row>
    <row r="113" spans="1:4">
      <c r="A113" t="s">
        <v>4037</v>
      </c>
      <c r="B113" t="s">
        <v>35</v>
      </c>
      <c r="C113" t="s">
        <v>4038</v>
      </c>
      <c r="D113" t="s">
        <v>4039</v>
      </c>
    </row>
    <row r="114" spans="1:4">
      <c r="A114" t="s">
        <v>3786</v>
      </c>
      <c r="B114" t="s">
        <v>33</v>
      </c>
      <c r="C114" t="s">
        <v>4040</v>
      </c>
      <c r="D114" t="s">
        <v>4041</v>
      </c>
    </row>
    <row r="115" spans="1:4">
      <c r="A115" t="s">
        <v>4042</v>
      </c>
      <c r="B115" t="s">
        <v>331</v>
      </c>
      <c r="C115" t="s">
        <v>3902</v>
      </c>
      <c r="D115" t="s">
        <v>3817</v>
      </c>
    </row>
    <row r="116" spans="1:4">
      <c r="A116" t="s">
        <v>4043</v>
      </c>
      <c r="B116" t="s">
        <v>39</v>
      </c>
      <c r="C116" t="s">
        <v>4044</v>
      </c>
      <c r="D116" t="s">
        <v>4045</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633A-288F-4278-B34B-09EE4146B630}">
  <dimension ref="A1:D87"/>
  <sheetViews>
    <sheetView workbookViewId="0">
      <selection activeCell="C17" sqref="C17"/>
    </sheetView>
  </sheetViews>
  <sheetFormatPr defaultRowHeight="14.45"/>
  <cols>
    <col min="1" max="1" width="56.85546875" bestFit="1" customWidth="1"/>
    <col min="2" max="2" width="10" bestFit="1" customWidth="1"/>
    <col min="3" max="3" width="80.85546875" bestFit="1" customWidth="1"/>
    <col min="4" max="4" width="36.140625" bestFit="1" customWidth="1"/>
  </cols>
  <sheetData>
    <row r="1" spans="1:4">
      <c r="A1" t="s">
        <v>3355</v>
      </c>
      <c r="B1" t="s">
        <v>1</v>
      </c>
      <c r="C1" t="s">
        <v>3356</v>
      </c>
      <c r="D1" t="s">
        <v>4046</v>
      </c>
    </row>
    <row r="2" spans="1:4">
      <c r="A2" t="s">
        <v>3386</v>
      </c>
      <c r="B2" t="s">
        <v>35</v>
      </c>
      <c r="C2" t="s">
        <v>4047</v>
      </c>
      <c r="D2" t="s">
        <v>4048</v>
      </c>
    </row>
    <row r="3" spans="1:4">
      <c r="A3" t="s">
        <v>3386</v>
      </c>
      <c r="B3" t="s">
        <v>35</v>
      </c>
      <c r="C3" t="s">
        <v>4049</v>
      </c>
      <c r="D3" t="s">
        <v>4050</v>
      </c>
    </row>
    <row r="4" spans="1:4">
      <c r="A4" t="s">
        <v>3391</v>
      </c>
      <c r="B4" t="s">
        <v>47</v>
      </c>
      <c r="C4" t="s">
        <v>4051</v>
      </c>
      <c r="D4" t="s">
        <v>4052</v>
      </c>
    </row>
    <row r="5" spans="1:4">
      <c r="A5" t="s">
        <v>4053</v>
      </c>
      <c r="B5" t="s">
        <v>41</v>
      </c>
      <c r="C5" t="s">
        <v>3379</v>
      </c>
      <c r="D5" t="s">
        <v>4054</v>
      </c>
    </row>
    <row r="6" spans="1:4">
      <c r="A6" t="s">
        <v>3410</v>
      </c>
      <c r="B6" t="s">
        <v>157</v>
      </c>
      <c r="C6" t="s">
        <v>4055</v>
      </c>
      <c r="D6" t="s">
        <v>4056</v>
      </c>
    </row>
    <row r="7" spans="1:4">
      <c r="A7" t="s">
        <v>3410</v>
      </c>
      <c r="B7" t="s">
        <v>157</v>
      </c>
      <c r="C7" t="s">
        <v>3807</v>
      </c>
      <c r="D7" t="s">
        <v>4057</v>
      </c>
    </row>
    <row r="8" spans="1:4">
      <c r="A8" t="s">
        <v>3414</v>
      </c>
      <c r="B8" t="s">
        <v>35</v>
      </c>
      <c r="C8" t="s">
        <v>4058</v>
      </c>
      <c r="D8" t="s">
        <v>4059</v>
      </c>
    </row>
    <row r="9" spans="1:4">
      <c r="A9" t="s">
        <v>3815</v>
      </c>
      <c r="B9" t="s">
        <v>44</v>
      </c>
      <c r="C9" t="s">
        <v>3816</v>
      </c>
      <c r="D9" t="s">
        <v>4060</v>
      </c>
    </row>
    <row r="10" spans="1:4">
      <c r="A10" t="s">
        <v>3815</v>
      </c>
      <c r="B10" t="s">
        <v>44</v>
      </c>
      <c r="C10" t="s">
        <v>3818</v>
      </c>
      <c r="D10" t="s">
        <v>4061</v>
      </c>
    </row>
    <row r="11" spans="1:4">
      <c r="A11" t="s">
        <v>4062</v>
      </c>
      <c r="B11" t="s">
        <v>35</v>
      </c>
      <c r="C11" t="s">
        <v>4063</v>
      </c>
      <c r="D11" t="s">
        <v>4064</v>
      </c>
    </row>
    <row r="12" spans="1:4">
      <c r="A12" t="s">
        <v>3822</v>
      </c>
      <c r="B12" t="s">
        <v>39</v>
      </c>
      <c r="C12" t="s">
        <v>3823</v>
      </c>
      <c r="D12" t="s">
        <v>4065</v>
      </c>
    </row>
    <row r="13" spans="1:4">
      <c r="A13" t="s">
        <v>3822</v>
      </c>
      <c r="B13" t="s">
        <v>39</v>
      </c>
      <c r="C13" t="s">
        <v>3827</v>
      </c>
      <c r="D13" t="s">
        <v>4066</v>
      </c>
    </row>
    <row r="14" spans="1:4">
      <c r="A14" t="s">
        <v>3822</v>
      </c>
      <c r="B14" t="s">
        <v>39</v>
      </c>
      <c r="C14" t="s">
        <v>4067</v>
      </c>
      <c r="D14" t="s">
        <v>4068</v>
      </c>
    </row>
    <row r="15" spans="1:4">
      <c r="A15" t="s">
        <v>3822</v>
      </c>
      <c r="B15" t="s">
        <v>39</v>
      </c>
      <c r="C15" t="s">
        <v>3833</v>
      </c>
      <c r="D15" t="s">
        <v>4069</v>
      </c>
    </row>
    <row r="16" spans="1:4">
      <c r="A16" t="s">
        <v>4070</v>
      </c>
      <c r="B16" t="s">
        <v>157</v>
      </c>
      <c r="C16" t="s">
        <v>4071</v>
      </c>
      <c r="D16" t="s">
        <v>4072</v>
      </c>
    </row>
    <row r="17" spans="1:4">
      <c r="A17" t="s">
        <v>3840</v>
      </c>
      <c r="B17" t="s">
        <v>67</v>
      </c>
      <c r="C17" t="s">
        <v>3841</v>
      </c>
      <c r="D17" t="s">
        <v>4073</v>
      </c>
    </row>
    <row r="18" spans="1:4">
      <c r="A18" t="s">
        <v>4074</v>
      </c>
      <c r="B18" t="s">
        <v>47</v>
      </c>
      <c r="C18" t="s">
        <v>3823</v>
      </c>
      <c r="D18" t="s">
        <v>4075</v>
      </c>
    </row>
    <row r="19" spans="1:4">
      <c r="A19" t="s">
        <v>4076</v>
      </c>
      <c r="B19" t="s">
        <v>39</v>
      </c>
      <c r="C19" t="s">
        <v>4077</v>
      </c>
      <c r="D19" t="s">
        <v>4078</v>
      </c>
    </row>
    <row r="20" spans="1:4">
      <c r="A20" t="s">
        <v>4079</v>
      </c>
      <c r="B20" t="s">
        <v>65</v>
      </c>
      <c r="C20" t="s">
        <v>3823</v>
      </c>
      <c r="D20" t="s">
        <v>4080</v>
      </c>
    </row>
    <row r="21" spans="1:4">
      <c r="A21" t="s">
        <v>4081</v>
      </c>
      <c r="B21" t="s">
        <v>35</v>
      </c>
      <c r="C21" t="s">
        <v>4058</v>
      </c>
      <c r="D21" t="s">
        <v>4082</v>
      </c>
    </row>
    <row r="22" spans="1:4">
      <c r="A22" t="s">
        <v>3854</v>
      </c>
      <c r="B22" t="s">
        <v>39</v>
      </c>
      <c r="C22" t="s">
        <v>4083</v>
      </c>
      <c r="D22" t="s">
        <v>4084</v>
      </c>
    </row>
    <row r="23" spans="1:4">
      <c r="A23" t="s">
        <v>3856</v>
      </c>
      <c r="B23" t="s">
        <v>35</v>
      </c>
      <c r="C23" t="s">
        <v>4085</v>
      </c>
      <c r="D23" t="s">
        <v>4060</v>
      </c>
    </row>
    <row r="24" spans="1:4">
      <c r="A24" t="s">
        <v>4086</v>
      </c>
      <c r="B24" t="s">
        <v>61</v>
      </c>
      <c r="C24" t="s">
        <v>4087</v>
      </c>
      <c r="D24" t="s">
        <v>4088</v>
      </c>
    </row>
    <row r="25" spans="1:4">
      <c r="A25" t="s">
        <v>4089</v>
      </c>
      <c r="B25" t="s">
        <v>41</v>
      </c>
      <c r="C25" t="s">
        <v>3827</v>
      </c>
      <c r="D25" t="s">
        <v>4090</v>
      </c>
    </row>
    <row r="26" spans="1:4">
      <c r="A26" t="s">
        <v>3868</v>
      </c>
      <c r="B26" t="s">
        <v>35</v>
      </c>
      <c r="C26" t="s">
        <v>4091</v>
      </c>
      <c r="D26" t="s">
        <v>4092</v>
      </c>
    </row>
    <row r="27" spans="1:4">
      <c r="A27" t="s">
        <v>3868</v>
      </c>
      <c r="B27" t="s">
        <v>35</v>
      </c>
      <c r="C27" t="s">
        <v>4093</v>
      </c>
      <c r="D27" t="s">
        <v>4094</v>
      </c>
    </row>
    <row r="28" spans="1:4">
      <c r="A28" t="s">
        <v>3496</v>
      </c>
      <c r="B28" t="s">
        <v>157</v>
      </c>
      <c r="C28" t="s">
        <v>4095</v>
      </c>
      <c r="D28" t="s">
        <v>4096</v>
      </c>
    </row>
    <row r="29" spans="1:4">
      <c r="A29" t="s">
        <v>4097</v>
      </c>
      <c r="B29" t="s">
        <v>95</v>
      </c>
      <c r="C29" t="s">
        <v>4058</v>
      </c>
      <c r="D29" t="s">
        <v>4098</v>
      </c>
    </row>
    <row r="30" spans="1:4">
      <c r="A30" t="s">
        <v>4099</v>
      </c>
      <c r="B30" t="s">
        <v>44</v>
      </c>
      <c r="C30" t="s">
        <v>3379</v>
      </c>
      <c r="D30" t="s">
        <v>4100</v>
      </c>
    </row>
    <row r="31" spans="1:4">
      <c r="A31" t="s">
        <v>4099</v>
      </c>
      <c r="B31" t="s">
        <v>44</v>
      </c>
      <c r="C31" t="s">
        <v>3921</v>
      </c>
      <c r="D31" t="s">
        <v>4101</v>
      </c>
    </row>
    <row r="32" spans="1:4">
      <c r="A32" t="s">
        <v>4099</v>
      </c>
      <c r="B32" t="s">
        <v>44</v>
      </c>
      <c r="C32" t="s">
        <v>3878</v>
      </c>
      <c r="D32" t="s">
        <v>4102</v>
      </c>
    </row>
    <row r="33" spans="1:4">
      <c r="A33" t="s">
        <v>3508</v>
      </c>
      <c r="B33" t="s">
        <v>35</v>
      </c>
      <c r="C33" t="s">
        <v>4103</v>
      </c>
      <c r="D33" t="s">
        <v>4104</v>
      </c>
    </row>
    <row r="34" spans="1:4">
      <c r="A34" t="s">
        <v>3508</v>
      </c>
      <c r="B34" t="s">
        <v>35</v>
      </c>
      <c r="C34" t="s">
        <v>4051</v>
      </c>
      <c r="D34" t="s">
        <v>4105</v>
      </c>
    </row>
    <row r="35" spans="1:4">
      <c r="A35" t="s">
        <v>4106</v>
      </c>
      <c r="B35" t="s">
        <v>44</v>
      </c>
      <c r="C35" t="s">
        <v>4051</v>
      </c>
      <c r="D35" t="s">
        <v>4107</v>
      </c>
    </row>
    <row r="36" spans="1:4">
      <c r="A36" t="s">
        <v>3882</v>
      </c>
      <c r="B36" t="s">
        <v>39</v>
      </c>
      <c r="C36" t="s">
        <v>4108</v>
      </c>
      <c r="D36" t="s">
        <v>4109</v>
      </c>
    </row>
    <row r="37" spans="1:4">
      <c r="A37" t="s">
        <v>3882</v>
      </c>
      <c r="B37" t="s">
        <v>39</v>
      </c>
      <c r="C37" t="s">
        <v>4110</v>
      </c>
      <c r="D37" t="s">
        <v>4111</v>
      </c>
    </row>
    <row r="38" spans="1:4">
      <c r="A38" t="s">
        <v>3882</v>
      </c>
      <c r="B38" t="s">
        <v>39</v>
      </c>
      <c r="C38" t="s">
        <v>4112</v>
      </c>
      <c r="D38" t="s">
        <v>4113</v>
      </c>
    </row>
    <row r="39" spans="1:4">
      <c r="A39" t="s">
        <v>4114</v>
      </c>
      <c r="B39" t="s">
        <v>33</v>
      </c>
      <c r="C39" t="s">
        <v>4115</v>
      </c>
      <c r="D39" t="s">
        <v>4116</v>
      </c>
    </row>
    <row r="40" spans="1:4">
      <c r="A40" t="s">
        <v>3893</v>
      </c>
      <c r="B40" t="s">
        <v>41</v>
      </c>
      <c r="C40" t="s">
        <v>3894</v>
      </c>
      <c r="D40" t="s">
        <v>4117</v>
      </c>
    </row>
    <row r="41" spans="1:4">
      <c r="A41" t="s">
        <v>3565</v>
      </c>
      <c r="B41" t="s">
        <v>39</v>
      </c>
      <c r="C41" t="s">
        <v>4063</v>
      </c>
      <c r="D41" t="s">
        <v>4118</v>
      </c>
    </row>
    <row r="42" spans="1:4">
      <c r="A42" t="s">
        <v>4119</v>
      </c>
      <c r="B42" t="s">
        <v>1294</v>
      </c>
      <c r="C42" t="s">
        <v>4120</v>
      </c>
      <c r="D42" t="s">
        <v>4121</v>
      </c>
    </row>
    <row r="43" spans="1:4">
      <c r="A43" t="s">
        <v>3581</v>
      </c>
      <c r="B43" t="s">
        <v>44</v>
      </c>
      <c r="C43" t="s">
        <v>4122</v>
      </c>
      <c r="D43" t="s">
        <v>4123</v>
      </c>
    </row>
    <row r="44" spans="1:4">
      <c r="A44" t="s">
        <v>3581</v>
      </c>
      <c r="B44" t="s">
        <v>44</v>
      </c>
      <c r="C44" t="s">
        <v>4124</v>
      </c>
      <c r="D44" t="s">
        <v>4125</v>
      </c>
    </row>
    <row r="45" spans="1:4">
      <c r="A45" t="s">
        <v>4126</v>
      </c>
      <c r="B45" t="s">
        <v>39</v>
      </c>
      <c r="C45" t="s">
        <v>4127</v>
      </c>
      <c r="D45" t="s">
        <v>4128</v>
      </c>
    </row>
    <row r="46" spans="1:4">
      <c r="A46" t="s">
        <v>4126</v>
      </c>
      <c r="B46" t="s">
        <v>39</v>
      </c>
      <c r="C46" t="s">
        <v>3903</v>
      </c>
      <c r="D46" t="s">
        <v>4129</v>
      </c>
    </row>
    <row r="47" spans="1:4">
      <c r="A47" t="s">
        <v>4130</v>
      </c>
      <c r="B47" t="s">
        <v>44</v>
      </c>
      <c r="C47" t="s">
        <v>4063</v>
      </c>
      <c r="D47" t="s">
        <v>4131</v>
      </c>
    </row>
    <row r="48" spans="1:4">
      <c r="A48" t="s">
        <v>3603</v>
      </c>
      <c r="B48" t="s">
        <v>39</v>
      </c>
      <c r="C48" t="s">
        <v>4132</v>
      </c>
      <c r="D48" t="s">
        <v>4133</v>
      </c>
    </row>
    <row r="49" spans="1:4">
      <c r="A49" t="s">
        <v>3906</v>
      </c>
      <c r="B49" t="s">
        <v>39</v>
      </c>
      <c r="C49" t="s">
        <v>3379</v>
      </c>
      <c r="D49" t="s">
        <v>4134</v>
      </c>
    </row>
    <row r="50" spans="1:4">
      <c r="A50" t="s">
        <v>4135</v>
      </c>
      <c r="B50" t="s">
        <v>157</v>
      </c>
      <c r="C50" t="s">
        <v>4136</v>
      </c>
      <c r="D50" t="s">
        <v>4137</v>
      </c>
    </row>
    <row r="51" spans="1:4">
      <c r="A51" t="s">
        <v>3626</v>
      </c>
      <c r="B51" t="s">
        <v>158</v>
      </c>
      <c r="C51" t="s">
        <v>4138</v>
      </c>
      <c r="D51" t="s">
        <v>4139</v>
      </c>
    </row>
    <row r="52" spans="1:4">
      <c r="A52" t="s">
        <v>3636</v>
      </c>
      <c r="B52" t="s">
        <v>35</v>
      </c>
      <c r="C52" t="s">
        <v>4140</v>
      </c>
      <c r="D52" t="s">
        <v>4141</v>
      </c>
    </row>
    <row r="53" spans="1:4">
      <c r="A53" t="s">
        <v>3918</v>
      </c>
      <c r="B53" t="s">
        <v>47</v>
      </c>
      <c r="C53" t="s">
        <v>3919</v>
      </c>
      <c r="D53" t="s">
        <v>4142</v>
      </c>
    </row>
    <row r="54" spans="1:4">
      <c r="A54" t="s">
        <v>3918</v>
      </c>
      <c r="B54" t="s">
        <v>47</v>
      </c>
      <c r="C54" t="s">
        <v>3921</v>
      </c>
      <c r="D54" t="s">
        <v>4143</v>
      </c>
    </row>
    <row r="55" spans="1:4">
      <c r="A55" t="s">
        <v>3925</v>
      </c>
      <c r="B55" t="s">
        <v>39</v>
      </c>
      <c r="C55" t="s">
        <v>3926</v>
      </c>
      <c r="D55" t="s">
        <v>4144</v>
      </c>
    </row>
    <row r="56" spans="1:4">
      <c r="A56" t="s">
        <v>3925</v>
      </c>
      <c r="B56" t="s">
        <v>39</v>
      </c>
      <c r="C56" t="s">
        <v>3928</v>
      </c>
      <c r="D56" t="s">
        <v>4145</v>
      </c>
    </row>
    <row r="57" spans="1:4">
      <c r="A57" t="s">
        <v>3925</v>
      </c>
      <c r="B57" t="s">
        <v>39</v>
      </c>
      <c r="C57" t="s">
        <v>4127</v>
      </c>
      <c r="D57" t="s">
        <v>4146</v>
      </c>
    </row>
    <row r="58" spans="1:4">
      <c r="A58" t="s">
        <v>3925</v>
      </c>
      <c r="B58" t="s">
        <v>39</v>
      </c>
      <c r="C58" t="s">
        <v>3903</v>
      </c>
      <c r="D58" t="s">
        <v>4147</v>
      </c>
    </row>
    <row r="59" spans="1:4">
      <c r="A59" t="s">
        <v>3934</v>
      </c>
      <c r="B59" t="s">
        <v>157</v>
      </c>
      <c r="C59" t="s">
        <v>4148</v>
      </c>
      <c r="D59" t="s">
        <v>4149</v>
      </c>
    </row>
    <row r="60" spans="1:4">
      <c r="A60" t="s">
        <v>4150</v>
      </c>
      <c r="B60" t="s">
        <v>33</v>
      </c>
      <c r="C60" t="s">
        <v>4151</v>
      </c>
      <c r="D60" t="s">
        <v>4152</v>
      </c>
    </row>
    <row r="61" spans="1:4">
      <c r="A61" t="s">
        <v>3942</v>
      </c>
      <c r="B61" t="s">
        <v>35</v>
      </c>
      <c r="C61" t="s">
        <v>3943</v>
      </c>
      <c r="D61" t="s">
        <v>4153</v>
      </c>
    </row>
    <row r="62" spans="1:4">
      <c r="A62" t="s">
        <v>3661</v>
      </c>
      <c r="B62" t="s">
        <v>33</v>
      </c>
      <c r="C62" t="s">
        <v>4154</v>
      </c>
      <c r="D62" t="s">
        <v>4155</v>
      </c>
    </row>
    <row r="63" spans="1:4">
      <c r="A63" t="s">
        <v>4156</v>
      </c>
      <c r="B63" t="s">
        <v>67</v>
      </c>
      <c r="C63" t="s">
        <v>3379</v>
      </c>
      <c r="D63" t="s">
        <v>4157</v>
      </c>
    </row>
    <row r="64" spans="1:4">
      <c r="A64" t="s">
        <v>4158</v>
      </c>
      <c r="B64" t="s">
        <v>47</v>
      </c>
      <c r="C64" t="s">
        <v>4058</v>
      </c>
      <c r="D64" t="s">
        <v>4159</v>
      </c>
    </row>
    <row r="65" spans="1:4">
      <c r="A65" t="s">
        <v>4158</v>
      </c>
      <c r="B65" t="s">
        <v>47</v>
      </c>
      <c r="C65" t="s">
        <v>4160</v>
      </c>
      <c r="D65" t="s">
        <v>4161</v>
      </c>
    </row>
    <row r="66" spans="1:4">
      <c r="A66" t="s">
        <v>4162</v>
      </c>
      <c r="B66" t="s">
        <v>39</v>
      </c>
      <c r="C66" t="s">
        <v>4163</v>
      </c>
      <c r="D66" t="s">
        <v>4056</v>
      </c>
    </row>
    <row r="67" spans="1:4">
      <c r="A67" t="s">
        <v>4164</v>
      </c>
      <c r="B67" t="s">
        <v>35</v>
      </c>
      <c r="C67" t="s">
        <v>4165</v>
      </c>
      <c r="D67" t="s">
        <v>4056</v>
      </c>
    </row>
    <row r="68" spans="1:4">
      <c r="A68" t="s">
        <v>4166</v>
      </c>
      <c r="B68" t="s">
        <v>640</v>
      </c>
      <c r="C68" t="s">
        <v>4167</v>
      </c>
      <c r="D68" t="s">
        <v>4168</v>
      </c>
    </row>
    <row r="69" spans="1:4">
      <c r="A69" t="s">
        <v>4169</v>
      </c>
      <c r="B69" t="s">
        <v>157</v>
      </c>
      <c r="C69" t="s">
        <v>4170</v>
      </c>
      <c r="D69" t="s">
        <v>4171</v>
      </c>
    </row>
    <row r="70" spans="1:4">
      <c r="A70" t="s">
        <v>4172</v>
      </c>
      <c r="B70" t="s">
        <v>157</v>
      </c>
      <c r="C70" t="s">
        <v>3889</v>
      </c>
      <c r="D70" t="s">
        <v>4173</v>
      </c>
    </row>
    <row r="71" spans="1:4">
      <c r="A71" t="s">
        <v>4174</v>
      </c>
      <c r="B71" t="s">
        <v>47</v>
      </c>
      <c r="C71" t="s">
        <v>4175</v>
      </c>
      <c r="D71" t="s">
        <v>4176</v>
      </c>
    </row>
    <row r="72" spans="1:4">
      <c r="A72" t="s">
        <v>3734</v>
      </c>
      <c r="B72" t="s">
        <v>39</v>
      </c>
      <c r="C72" t="s">
        <v>3926</v>
      </c>
      <c r="D72" t="s">
        <v>4177</v>
      </c>
    </row>
    <row r="73" spans="1:4">
      <c r="A73" t="s">
        <v>3734</v>
      </c>
      <c r="B73" t="s">
        <v>39</v>
      </c>
      <c r="C73" t="s">
        <v>3928</v>
      </c>
      <c r="D73" t="s">
        <v>4178</v>
      </c>
    </row>
    <row r="74" spans="1:4">
      <c r="A74" t="s">
        <v>3734</v>
      </c>
      <c r="B74" t="s">
        <v>39</v>
      </c>
      <c r="C74" t="s">
        <v>3903</v>
      </c>
      <c r="D74" t="s">
        <v>4179</v>
      </c>
    </row>
    <row r="75" spans="1:4">
      <c r="A75" t="s">
        <v>3996</v>
      </c>
      <c r="B75" t="s">
        <v>39</v>
      </c>
      <c r="C75" t="s">
        <v>4180</v>
      </c>
      <c r="D75" t="s">
        <v>4181</v>
      </c>
    </row>
    <row r="76" spans="1:4">
      <c r="A76" t="s">
        <v>3999</v>
      </c>
      <c r="B76" t="s">
        <v>44</v>
      </c>
      <c r="C76" t="s">
        <v>4001</v>
      </c>
      <c r="D76" t="s">
        <v>4182</v>
      </c>
    </row>
    <row r="77" spans="1:4">
      <c r="A77" t="s">
        <v>3999</v>
      </c>
      <c r="B77" t="s">
        <v>44</v>
      </c>
      <c r="C77" t="s">
        <v>4003</v>
      </c>
      <c r="D77" t="s">
        <v>4183</v>
      </c>
    </row>
    <row r="78" spans="1:4">
      <c r="A78" t="s">
        <v>3759</v>
      </c>
      <c r="B78" t="s">
        <v>35</v>
      </c>
      <c r="C78" t="s">
        <v>4051</v>
      </c>
      <c r="D78" t="s">
        <v>4184</v>
      </c>
    </row>
    <row r="79" spans="1:4">
      <c r="A79" t="s">
        <v>3759</v>
      </c>
      <c r="B79" t="s">
        <v>35</v>
      </c>
      <c r="C79" t="s">
        <v>4185</v>
      </c>
      <c r="D79" t="s">
        <v>4186</v>
      </c>
    </row>
    <row r="80" spans="1:4">
      <c r="A80" t="s">
        <v>3759</v>
      </c>
      <c r="B80" t="s">
        <v>35</v>
      </c>
      <c r="C80" t="s">
        <v>4009</v>
      </c>
      <c r="D80" t="s">
        <v>4187</v>
      </c>
    </row>
    <row r="81" spans="1:4">
      <c r="A81" t="s">
        <v>4011</v>
      </c>
      <c r="B81" t="s">
        <v>47</v>
      </c>
      <c r="C81" t="s">
        <v>4017</v>
      </c>
      <c r="D81" t="s">
        <v>4188</v>
      </c>
    </row>
    <row r="82" spans="1:4">
      <c r="A82" t="s">
        <v>4189</v>
      </c>
      <c r="B82" t="s">
        <v>67</v>
      </c>
      <c r="C82" t="s">
        <v>4190</v>
      </c>
      <c r="D82" t="s">
        <v>4191</v>
      </c>
    </row>
    <row r="83" spans="1:4">
      <c r="A83" t="s">
        <v>3773</v>
      </c>
      <c r="B83" t="s">
        <v>35</v>
      </c>
      <c r="C83" t="s">
        <v>4051</v>
      </c>
      <c r="D83" t="s">
        <v>4192</v>
      </c>
    </row>
    <row r="84" spans="1:4">
      <c r="A84" t="s">
        <v>3778</v>
      </c>
      <c r="B84" t="s">
        <v>41</v>
      </c>
      <c r="C84" t="s">
        <v>4024</v>
      </c>
      <c r="D84" t="s">
        <v>4193</v>
      </c>
    </row>
    <row r="85" spans="1:4">
      <c r="A85" t="s">
        <v>4194</v>
      </c>
      <c r="B85" t="s">
        <v>39</v>
      </c>
      <c r="C85" t="s">
        <v>4195</v>
      </c>
      <c r="D85" t="s">
        <v>4196</v>
      </c>
    </row>
    <row r="86" spans="1:4">
      <c r="A86" t="s">
        <v>4194</v>
      </c>
      <c r="B86" t="s">
        <v>39</v>
      </c>
      <c r="C86" t="s">
        <v>4197</v>
      </c>
      <c r="D86" t="s">
        <v>4198</v>
      </c>
    </row>
    <row r="87" spans="1:4">
      <c r="A87" t="s">
        <v>4194</v>
      </c>
      <c r="B87" t="s">
        <v>39</v>
      </c>
      <c r="C87" t="s">
        <v>4199</v>
      </c>
      <c r="D87" t="s">
        <v>4200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D3179-668D-41E0-8505-7529E30A5A60}">
  <dimension ref="A1:D82"/>
  <sheetViews>
    <sheetView workbookViewId="0">
      <selection activeCell="E83" sqref="E83"/>
    </sheetView>
  </sheetViews>
  <sheetFormatPr defaultRowHeight="14.45"/>
  <cols>
    <col min="1" max="1" width="29.5703125" bestFit="1" customWidth="1"/>
    <col min="2" max="2" width="10" bestFit="1" customWidth="1"/>
    <col min="3" max="3" width="80.85546875" bestFit="1" customWidth="1"/>
    <col min="4" max="4" width="18" customWidth="1"/>
    <col min="5" max="5" width="30.42578125" bestFit="1" customWidth="1"/>
    <col min="6" max="6" width="22.5703125" bestFit="1" customWidth="1"/>
    <col min="7" max="7" width="36.140625" bestFit="1" customWidth="1"/>
  </cols>
  <sheetData>
    <row r="1" spans="1:4">
      <c r="A1" t="s">
        <v>3355</v>
      </c>
      <c r="B1" t="s">
        <v>1</v>
      </c>
      <c r="C1" t="s">
        <v>3356</v>
      </c>
      <c r="D1" s="6" t="s">
        <v>3357</v>
      </c>
    </row>
    <row r="2" spans="1:4">
      <c r="A2" t="s">
        <v>4079</v>
      </c>
      <c r="B2" t="s">
        <v>65</v>
      </c>
      <c r="C2" t="s">
        <v>3973</v>
      </c>
      <c r="D2" t="s">
        <v>4201</v>
      </c>
    </row>
    <row r="3" spans="1:4">
      <c r="A3" t="s">
        <v>4202</v>
      </c>
      <c r="B3" t="s">
        <v>33</v>
      </c>
      <c r="C3" t="s">
        <v>3379</v>
      </c>
      <c r="D3" t="s">
        <v>4203</v>
      </c>
    </row>
    <row r="4" spans="1:4">
      <c r="A4" t="s">
        <v>3399</v>
      </c>
      <c r="B4" t="s">
        <v>39</v>
      </c>
      <c r="C4" t="s">
        <v>4204</v>
      </c>
      <c r="D4" t="s">
        <v>3858</v>
      </c>
    </row>
    <row r="5" spans="1:4">
      <c r="A5" t="s">
        <v>3822</v>
      </c>
      <c r="B5" t="s">
        <v>39</v>
      </c>
      <c r="C5" t="s">
        <v>3379</v>
      </c>
      <c r="D5" t="s">
        <v>4205</v>
      </c>
    </row>
    <row r="6" spans="1:4">
      <c r="A6" t="s">
        <v>3822</v>
      </c>
      <c r="B6" t="s">
        <v>39</v>
      </c>
      <c r="C6" t="s">
        <v>3823</v>
      </c>
      <c r="D6" t="s">
        <v>4206</v>
      </c>
    </row>
    <row r="7" spans="1:4">
      <c r="A7" t="s">
        <v>3822</v>
      </c>
      <c r="B7" t="s">
        <v>39</v>
      </c>
      <c r="C7" t="s">
        <v>4207</v>
      </c>
      <c r="D7" t="s">
        <v>4208</v>
      </c>
    </row>
    <row r="8" spans="1:4">
      <c r="A8" t="s">
        <v>3822</v>
      </c>
      <c r="B8" t="s">
        <v>39</v>
      </c>
      <c r="C8" t="s">
        <v>4209</v>
      </c>
      <c r="D8" t="s">
        <v>4210</v>
      </c>
    </row>
    <row r="9" spans="1:4">
      <c r="A9" t="s">
        <v>3565</v>
      </c>
      <c r="B9" t="s">
        <v>39</v>
      </c>
      <c r="C9" t="s">
        <v>4211</v>
      </c>
      <c r="D9" t="s">
        <v>4212</v>
      </c>
    </row>
    <row r="10" spans="1:4">
      <c r="A10" t="s">
        <v>3815</v>
      </c>
      <c r="B10" t="s">
        <v>44</v>
      </c>
      <c r="C10" t="s">
        <v>4213</v>
      </c>
      <c r="D10" t="s">
        <v>4214</v>
      </c>
    </row>
    <row r="11" spans="1:4">
      <c r="A11" t="s">
        <v>3815</v>
      </c>
      <c r="B11" t="s">
        <v>44</v>
      </c>
      <c r="C11" t="s">
        <v>4204</v>
      </c>
      <c r="D11" t="s">
        <v>4215</v>
      </c>
    </row>
    <row r="12" spans="1:4">
      <c r="A12" t="s">
        <v>4216</v>
      </c>
      <c r="B12" t="s">
        <v>44</v>
      </c>
      <c r="C12" t="s">
        <v>3921</v>
      </c>
      <c r="D12" t="s">
        <v>4217</v>
      </c>
    </row>
    <row r="13" spans="1:4">
      <c r="A13" t="s">
        <v>4218</v>
      </c>
      <c r="B13" t="s">
        <v>44</v>
      </c>
      <c r="C13" t="s">
        <v>4211</v>
      </c>
      <c r="D13" t="s">
        <v>4219</v>
      </c>
    </row>
    <row r="14" spans="1:4">
      <c r="A14" t="s">
        <v>4106</v>
      </c>
      <c r="B14" t="s">
        <v>44</v>
      </c>
      <c r="C14" t="s">
        <v>4220</v>
      </c>
      <c r="D14" t="s">
        <v>3476</v>
      </c>
    </row>
    <row r="15" spans="1:4" ht="43.15">
      <c r="A15" t="s">
        <v>3386</v>
      </c>
      <c r="B15" t="s">
        <v>35</v>
      </c>
      <c r="C15" s="6" t="s">
        <v>4221</v>
      </c>
      <c r="D15" t="s">
        <v>4222</v>
      </c>
    </row>
    <row r="16" spans="1:4">
      <c r="A16" t="s">
        <v>3414</v>
      </c>
      <c r="B16" t="s">
        <v>35</v>
      </c>
      <c r="C16" t="s">
        <v>4223</v>
      </c>
      <c r="D16" t="s">
        <v>4224</v>
      </c>
    </row>
    <row r="17" spans="1:4">
      <c r="A17" t="s">
        <v>3414</v>
      </c>
      <c r="B17" t="s">
        <v>35</v>
      </c>
      <c r="C17" t="s">
        <v>4225</v>
      </c>
      <c r="D17" t="s">
        <v>4226</v>
      </c>
    </row>
    <row r="18" spans="1:4">
      <c r="A18" t="s">
        <v>3414</v>
      </c>
      <c r="B18" t="s">
        <v>35</v>
      </c>
      <c r="C18" t="s">
        <v>4227</v>
      </c>
      <c r="D18" t="s">
        <v>4228</v>
      </c>
    </row>
    <row r="19" spans="1:4">
      <c r="A19" t="s">
        <v>3414</v>
      </c>
      <c r="B19" t="s">
        <v>35</v>
      </c>
      <c r="C19" t="s">
        <v>4229</v>
      </c>
      <c r="D19" t="s">
        <v>4230</v>
      </c>
    </row>
    <row r="20" spans="1:4">
      <c r="A20" t="s">
        <v>4062</v>
      </c>
      <c r="B20" t="s">
        <v>35</v>
      </c>
      <c r="C20" t="s">
        <v>4211</v>
      </c>
      <c r="D20" t="s">
        <v>4231</v>
      </c>
    </row>
    <row r="21" spans="1:4">
      <c r="A21" t="s">
        <v>4062</v>
      </c>
      <c r="B21" t="s">
        <v>35</v>
      </c>
      <c r="C21" t="s">
        <v>4232</v>
      </c>
      <c r="D21" t="s">
        <v>4233</v>
      </c>
    </row>
    <row r="22" spans="1:4">
      <c r="A22" t="s">
        <v>3865</v>
      </c>
      <c r="B22" s="6" t="s">
        <v>35</v>
      </c>
      <c r="C22" t="s">
        <v>4204</v>
      </c>
      <c r="D22" t="s">
        <v>4234</v>
      </c>
    </row>
    <row r="23" spans="1:4">
      <c r="A23" t="s">
        <v>3868</v>
      </c>
      <c r="B23" t="s">
        <v>35</v>
      </c>
      <c r="C23" t="s">
        <v>4235</v>
      </c>
      <c r="D23" t="s">
        <v>4236</v>
      </c>
    </row>
    <row r="24" spans="1:4">
      <c r="A24" t="s">
        <v>4237</v>
      </c>
      <c r="B24" t="s">
        <v>35</v>
      </c>
      <c r="C24" t="s">
        <v>4204</v>
      </c>
      <c r="D24" t="s">
        <v>4238</v>
      </c>
    </row>
    <row r="25" spans="1:4">
      <c r="A25" t="s">
        <v>4237</v>
      </c>
      <c r="B25" t="s">
        <v>35</v>
      </c>
      <c r="C25" t="s">
        <v>4239</v>
      </c>
      <c r="D25" t="s">
        <v>4240</v>
      </c>
    </row>
    <row r="26" spans="1:4">
      <c r="A26" t="s">
        <v>3508</v>
      </c>
      <c r="B26" t="s">
        <v>35</v>
      </c>
      <c r="C26" t="s">
        <v>4241</v>
      </c>
      <c r="D26" t="s">
        <v>4242</v>
      </c>
    </row>
    <row r="27" spans="1:4">
      <c r="A27" t="s">
        <v>3885</v>
      </c>
      <c r="B27" t="s">
        <v>47</v>
      </c>
      <c r="C27" t="s">
        <v>3886</v>
      </c>
      <c r="D27" t="s">
        <v>4243</v>
      </c>
    </row>
    <row r="28" spans="1:4">
      <c r="A28" t="s">
        <v>4244</v>
      </c>
      <c r="B28" t="s">
        <v>47</v>
      </c>
      <c r="C28" t="s">
        <v>4241</v>
      </c>
      <c r="D28" t="s">
        <v>3960</v>
      </c>
    </row>
    <row r="29" spans="1:4">
      <c r="A29" t="s">
        <v>4245</v>
      </c>
      <c r="B29" t="s">
        <v>41</v>
      </c>
      <c r="C29" t="s">
        <v>3379</v>
      </c>
      <c r="D29" t="s">
        <v>4246</v>
      </c>
    </row>
    <row r="30" spans="1:4">
      <c r="A30" t="s">
        <v>4245</v>
      </c>
      <c r="B30" t="s">
        <v>41</v>
      </c>
      <c r="C30" t="s">
        <v>4247</v>
      </c>
      <c r="D30" t="s">
        <v>4248</v>
      </c>
    </row>
    <row r="31" spans="1:4">
      <c r="A31" t="s">
        <v>3893</v>
      </c>
      <c r="B31" t="s">
        <v>41</v>
      </c>
      <c r="C31" t="s">
        <v>4249</v>
      </c>
      <c r="D31" t="s">
        <v>4250</v>
      </c>
    </row>
    <row r="32" spans="1:4">
      <c r="A32" t="s">
        <v>3410</v>
      </c>
      <c r="B32" t="s">
        <v>157</v>
      </c>
      <c r="C32" t="s">
        <v>4229</v>
      </c>
      <c r="D32" t="s">
        <v>4251</v>
      </c>
    </row>
    <row r="33" spans="1:4">
      <c r="A33" t="s">
        <v>3410</v>
      </c>
      <c r="B33" t="s">
        <v>157</v>
      </c>
      <c r="C33" t="s">
        <v>4252</v>
      </c>
      <c r="D33" t="s">
        <v>4253</v>
      </c>
    </row>
    <row r="34" spans="1:4">
      <c r="A34" t="s">
        <v>3581</v>
      </c>
      <c r="B34" t="s">
        <v>44</v>
      </c>
      <c r="C34" t="s">
        <v>4254</v>
      </c>
      <c r="D34" t="s">
        <v>4255</v>
      </c>
    </row>
    <row r="35" spans="1:4">
      <c r="A35" t="s">
        <v>3581</v>
      </c>
      <c r="B35" t="s">
        <v>44</v>
      </c>
      <c r="C35" t="s">
        <v>4204</v>
      </c>
      <c r="D35" t="s">
        <v>3881</v>
      </c>
    </row>
    <row r="36" spans="1:4">
      <c r="A36" t="s">
        <v>4126</v>
      </c>
      <c r="B36" t="s">
        <v>39</v>
      </c>
      <c r="C36" t="s">
        <v>4256</v>
      </c>
      <c r="D36" t="s">
        <v>4257</v>
      </c>
    </row>
    <row r="37" spans="1:4">
      <c r="A37" t="s">
        <v>4258</v>
      </c>
      <c r="B37" t="s">
        <v>39</v>
      </c>
      <c r="C37" t="s">
        <v>3823</v>
      </c>
      <c r="D37" t="s">
        <v>3853</v>
      </c>
    </row>
    <row r="38" spans="1:4">
      <c r="A38" t="s">
        <v>3603</v>
      </c>
      <c r="B38" t="s">
        <v>39</v>
      </c>
      <c r="C38" t="s">
        <v>4259</v>
      </c>
      <c r="D38" t="s">
        <v>4260</v>
      </c>
    </row>
    <row r="39" spans="1:4">
      <c r="A39" t="s">
        <v>3906</v>
      </c>
      <c r="B39" t="s">
        <v>39</v>
      </c>
      <c r="C39" t="s">
        <v>3379</v>
      </c>
      <c r="D39" t="s">
        <v>4261</v>
      </c>
    </row>
    <row r="40" spans="1:4">
      <c r="A40" t="s">
        <v>4262</v>
      </c>
      <c r="B40" t="s">
        <v>41</v>
      </c>
      <c r="C40" t="s">
        <v>4263</v>
      </c>
      <c r="D40" t="s">
        <v>4264</v>
      </c>
    </row>
    <row r="41" spans="1:4">
      <c r="A41" t="s">
        <v>3918</v>
      </c>
      <c r="B41" t="s">
        <v>47</v>
      </c>
      <c r="C41" t="s">
        <v>3921</v>
      </c>
      <c r="D41" t="s">
        <v>4265</v>
      </c>
    </row>
    <row r="42" spans="1:4">
      <c r="A42" t="s">
        <v>3918</v>
      </c>
      <c r="B42" t="s">
        <v>47</v>
      </c>
      <c r="C42" t="s">
        <v>4266</v>
      </c>
      <c r="D42" t="s">
        <v>4267</v>
      </c>
    </row>
    <row r="43" spans="1:4">
      <c r="A43" t="s">
        <v>3925</v>
      </c>
      <c r="B43" t="s">
        <v>39</v>
      </c>
      <c r="C43" t="s">
        <v>4256</v>
      </c>
      <c r="D43" t="s">
        <v>4268</v>
      </c>
    </row>
    <row r="44" spans="1:4">
      <c r="A44" t="s">
        <v>3925</v>
      </c>
      <c r="B44" t="s">
        <v>39</v>
      </c>
      <c r="C44" t="s">
        <v>4269</v>
      </c>
      <c r="D44" t="s">
        <v>4270</v>
      </c>
    </row>
    <row r="45" spans="1:4">
      <c r="A45" t="s">
        <v>4271</v>
      </c>
      <c r="B45" t="s">
        <v>65</v>
      </c>
      <c r="C45" t="s">
        <v>4272</v>
      </c>
      <c r="D45" t="s">
        <v>4273</v>
      </c>
    </row>
    <row r="46" spans="1:4">
      <c r="A46" t="s">
        <v>3931</v>
      </c>
      <c r="B46" t="s">
        <v>67</v>
      </c>
      <c r="C46" t="s">
        <v>3932</v>
      </c>
      <c r="D46" t="s">
        <v>4274</v>
      </c>
    </row>
    <row r="47" spans="1:4">
      <c r="A47" t="s">
        <v>4275</v>
      </c>
      <c r="B47" t="s">
        <v>157</v>
      </c>
      <c r="C47" t="s">
        <v>4276</v>
      </c>
      <c r="D47" t="s">
        <v>4277</v>
      </c>
    </row>
    <row r="48" spans="1:4">
      <c r="A48" t="s">
        <v>4278</v>
      </c>
      <c r="B48" t="s">
        <v>35</v>
      </c>
      <c r="C48" t="s">
        <v>4279</v>
      </c>
      <c r="D48" t="s">
        <v>4280</v>
      </c>
    </row>
    <row r="49" spans="1:4">
      <c r="A49" t="s">
        <v>4281</v>
      </c>
      <c r="B49" t="s">
        <v>39</v>
      </c>
      <c r="C49" t="s">
        <v>4282</v>
      </c>
      <c r="D49" t="s">
        <v>4283</v>
      </c>
    </row>
    <row r="50" spans="1:4">
      <c r="A50" t="s">
        <v>3661</v>
      </c>
      <c r="B50" t="s">
        <v>33</v>
      </c>
      <c r="C50" t="s">
        <v>4284</v>
      </c>
      <c r="D50" t="s">
        <v>4285</v>
      </c>
    </row>
    <row r="51" spans="1:4">
      <c r="A51" t="s">
        <v>3661</v>
      </c>
      <c r="B51" t="s">
        <v>33</v>
      </c>
      <c r="C51" t="s">
        <v>4286</v>
      </c>
      <c r="D51" t="s">
        <v>4287</v>
      </c>
    </row>
    <row r="52" spans="1:4">
      <c r="A52" t="s">
        <v>3680</v>
      </c>
      <c r="B52" t="s">
        <v>777</v>
      </c>
      <c r="C52" t="s">
        <v>3379</v>
      </c>
      <c r="D52" t="s">
        <v>4288</v>
      </c>
    </row>
    <row r="53" spans="1:4">
      <c r="A53" t="s">
        <v>3680</v>
      </c>
      <c r="B53" t="s">
        <v>777</v>
      </c>
      <c r="C53" t="s">
        <v>4289</v>
      </c>
      <c r="D53" t="s">
        <v>4290</v>
      </c>
    </row>
    <row r="54" spans="1:4">
      <c r="A54" t="s">
        <v>3704</v>
      </c>
      <c r="B54" t="s">
        <v>157</v>
      </c>
      <c r="C54" t="s">
        <v>4291</v>
      </c>
      <c r="D54" t="s">
        <v>4292</v>
      </c>
    </row>
    <row r="55" spans="1:4">
      <c r="A55" t="s">
        <v>4158</v>
      </c>
      <c r="B55" t="s">
        <v>47</v>
      </c>
      <c r="C55" t="s">
        <v>4293</v>
      </c>
      <c r="D55" t="s">
        <v>4294</v>
      </c>
    </row>
    <row r="56" spans="1:4">
      <c r="A56" t="s">
        <v>3717</v>
      </c>
      <c r="B56" t="s">
        <v>35</v>
      </c>
      <c r="C56" t="s">
        <v>3979</v>
      </c>
      <c r="D56" t="s">
        <v>4295</v>
      </c>
    </row>
    <row r="57" spans="1:4">
      <c r="A57" t="s">
        <v>3717</v>
      </c>
      <c r="B57" t="s">
        <v>35</v>
      </c>
      <c r="C57" t="s">
        <v>4296</v>
      </c>
      <c r="D57" t="s">
        <v>4297</v>
      </c>
    </row>
    <row r="58" spans="1:4">
      <c r="A58" t="s">
        <v>4162</v>
      </c>
      <c r="B58" t="s">
        <v>39</v>
      </c>
      <c r="C58" t="s">
        <v>4298</v>
      </c>
      <c r="D58" t="s">
        <v>4299</v>
      </c>
    </row>
    <row r="59" spans="1:4">
      <c r="A59" t="s">
        <v>3986</v>
      </c>
      <c r="B59" t="s">
        <v>39</v>
      </c>
      <c r="C59" t="s">
        <v>4300</v>
      </c>
      <c r="D59" t="s">
        <v>4301</v>
      </c>
    </row>
    <row r="60" spans="1:4">
      <c r="A60" t="s">
        <v>3986</v>
      </c>
      <c r="B60" t="s">
        <v>39</v>
      </c>
      <c r="C60" t="s">
        <v>4266</v>
      </c>
      <c r="D60" t="s">
        <v>4302</v>
      </c>
    </row>
    <row r="61" spans="1:4">
      <c r="A61" t="s">
        <v>3724</v>
      </c>
      <c r="B61" t="s">
        <v>157</v>
      </c>
      <c r="C61" t="s">
        <v>4204</v>
      </c>
      <c r="D61" t="s">
        <v>4303</v>
      </c>
    </row>
    <row r="62" spans="1:4">
      <c r="A62" t="s">
        <v>4304</v>
      </c>
      <c r="B62" t="s">
        <v>777</v>
      </c>
      <c r="C62" t="s">
        <v>4305</v>
      </c>
      <c r="D62" t="s">
        <v>4306</v>
      </c>
    </row>
    <row r="63" spans="1:4">
      <c r="A63" t="s">
        <v>4172</v>
      </c>
      <c r="B63" t="s">
        <v>157</v>
      </c>
      <c r="C63" t="s">
        <v>3889</v>
      </c>
      <c r="D63" t="s">
        <v>4307</v>
      </c>
    </row>
    <row r="64" spans="1:4">
      <c r="A64" t="s">
        <v>4174</v>
      </c>
      <c r="B64" t="s">
        <v>47</v>
      </c>
      <c r="C64" t="s">
        <v>4308</v>
      </c>
      <c r="D64" t="s">
        <v>4309</v>
      </c>
    </row>
    <row r="65" spans="1:4">
      <c r="A65" t="s">
        <v>3994</v>
      </c>
      <c r="B65" t="s">
        <v>39</v>
      </c>
      <c r="C65" t="s">
        <v>4310</v>
      </c>
      <c r="D65" t="s">
        <v>3476</v>
      </c>
    </row>
    <row r="66" spans="1:4">
      <c r="A66" t="s">
        <v>3994</v>
      </c>
      <c r="B66" t="s">
        <v>39</v>
      </c>
      <c r="C66" t="s">
        <v>4256</v>
      </c>
      <c r="D66" t="s">
        <v>4311</v>
      </c>
    </row>
    <row r="67" spans="1:4">
      <c r="A67" t="s">
        <v>3994</v>
      </c>
      <c r="B67" t="s">
        <v>39</v>
      </c>
      <c r="C67" t="s">
        <v>4312</v>
      </c>
      <c r="D67" t="s">
        <v>4255</v>
      </c>
    </row>
    <row r="68" spans="1:4">
      <c r="A68" t="s">
        <v>3996</v>
      </c>
      <c r="B68" t="s">
        <v>39</v>
      </c>
      <c r="C68" t="s">
        <v>3379</v>
      </c>
      <c r="D68" t="s">
        <v>4313</v>
      </c>
    </row>
    <row r="69" spans="1:4">
      <c r="A69" t="s">
        <v>3999</v>
      </c>
      <c r="B69" t="s">
        <v>44</v>
      </c>
      <c r="C69" t="s">
        <v>4204</v>
      </c>
      <c r="D69" t="s">
        <v>4314</v>
      </c>
    </row>
    <row r="70" spans="1:4">
      <c r="A70" t="s">
        <v>3999</v>
      </c>
      <c r="B70" t="s">
        <v>44</v>
      </c>
      <c r="C70" t="s">
        <v>4315</v>
      </c>
      <c r="D70" t="s">
        <v>4316</v>
      </c>
    </row>
    <row r="71" spans="1:4">
      <c r="A71" t="s">
        <v>3759</v>
      </c>
      <c r="B71" t="s">
        <v>35</v>
      </c>
      <c r="C71" t="s">
        <v>4317</v>
      </c>
      <c r="D71" t="s">
        <v>4318</v>
      </c>
    </row>
    <row r="72" spans="1:4">
      <c r="A72" t="s">
        <v>3759</v>
      </c>
      <c r="B72" t="s">
        <v>35</v>
      </c>
      <c r="C72" t="s">
        <v>4241</v>
      </c>
      <c r="D72" t="s">
        <v>4319</v>
      </c>
    </row>
    <row r="73" spans="1:4">
      <c r="A73" t="s">
        <v>3759</v>
      </c>
      <c r="B73" t="s">
        <v>35</v>
      </c>
      <c r="C73" t="s">
        <v>4204</v>
      </c>
      <c r="D73" t="s">
        <v>4320</v>
      </c>
    </row>
    <row r="74" spans="1:4">
      <c r="A74" t="s">
        <v>4011</v>
      </c>
      <c r="B74" t="s">
        <v>47</v>
      </c>
      <c r="C74" t="s">
        <v>3823</v>
      </c>
      <c r="D74" t="s">
        <v>4321</v>
      </c>
    </row>
    <row r="75" spans="1:4">
      <c r="A75" t="s">
        <v>4011</v>
      </c>
      <c r="B75" t="s">
        <v>47</v>
      </c>
      <c r="C75" t="s">
        <v>4204</v>
      </c>
      <c r="D75" t="s">
        <v>3654</v>
      </c>
    </row>
    <row r="76" spans="1:4">
      <c r="A76" t="s">
        <v>3773</v>
      </c>
      <c r="B76" t="s">
        <v>35</v>
      </c>
      <c r="C76" t="s">
        <v>4241</v>
      </c>
      <c r="D76" t="s">
        <v>4322</v>
      </c>
    </row>
    <row r="77" spans="1:4">
      <c r="A77" t="s">
        <v>4194</v>
      </c>
      <c r="B77" t="s">
        <v>39</v>
      </c>
      <c r="C77" t="s">
        <v>4323</v>
      </c>
      <c r="D77" t="s">
        <v>4324</v>
      </c>
    </row>
    <row r="78" spans="1:4">
      <c r="A78" t="s">
        <v>4325</v>
      </c>
      <c r="B78" t="s">
        <v>44</v>
      </c>
      <c r="C78" t="s">
        <v>4326</v>
      </c>
      <c r="D78" t="s">
        <v>4255</v>
      </c>
    </row>
    <row r="79" spans="1:4">
      <c r="A79" t="s">
        <v>4327</v>
      </c>
      <c r="B79" t="s">
        <v>65</v>
      </c>
      <c r="C79" t="s">
        <v>4328</v>
      </c>
      <c r="D79" t="s">
        <v>4329</v>
      </c>
    </row>
    <row r="80" spans="1:4">
      <c r="A80" t="s">
        <v>4330</v>
      </c>
      <c r="B80" t="s">
        <v>157</v>
      </c>
      <c r="C80" t="s">
        <v>4331</v>
      </c>
      <c r="D80" t="s">
        <v>4332</v>
      </c>
    </row>
    <row r="81" spans="1:4">
      <c r="A81" t="s">
        <v>4037</v>
      </c>
      <c r="B81" t="s">
        <v>35</v>
      </c>
      <c r="C81" t="s">
        <v>4038</v>
      </c>
      <c r="D81" t="s">
        <v>3939</v>
      </c>
    </row>
    <row r="82" spans="1:4">
      <c r="A82" t="s">
        <v>3786</v>
      </c>
      <c r="B82" t="s">
        <v>33</v>
      </c>
      <c r="C82" t="s">
        <v>4333</v>
      </c>
      <c r="D82" t="s">
        <v>4334</v>
      </c>
    </row>
  </sheetData>
  <pageMargins left="0.7" right="0.7" top="0.75" bottom="0.75" header="0.3" footer="0.3"/>
  <tableParts count="3">
    <tablePart r:id="rId1"/>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83E6-3CCF-4731-BF92-CC03681212EF}">
  <dimension ref="A1:D95"/>
  <sheetViews>
    <sheetView workbookViewId="0">
      <selection activeCell="E39" sqref="E39"/>
    </sheetView>
  </sheetViews>
  <sheetFormatPr defaultRowHeight="14.45"/>
  <cols>
    <col min="1" max="1" width="52.28515625" bestFit="1" customWidth="1"/>
    <col min="2" max="2" width="10" bestFit="1" customWidth="1"/>
    <col min="3" max="3" width="80.85546875" bestFit="1" customWidth="1"/>
    <col min="4" max="4" width="12.42578125" bestFit="1" customWidth="1"/>
  </cols>
  <sheetData>
    <row r="1" spans="1:4">
      <c r="A1" t="s">
        <v>3355</v>
      </c>
      <c r="B1" t="s">
        <v>1</v>
      </c>
      <c r="C1" t="s">
        <v>3356</v>
      </c>
      <c r="D1" t="s">
        <v>4335</v>
      </c>
    </row>
    <row r="2" spans="1:4">
      <c r="A2" t="s">
        <v>4336</v>
      </c>
      <c r="B2" t="s">
        <v>65</v>
      </c>
      <c r="C2" t="s">
        <v>3973</v>
      </c>
      <c r="D2" t="s">
        <v>4337</v>
      </c>
    </row>
    <row r="3" spans="1:4">
      <c r="A3" t="s">
        <v>4336</v>
      </c>
      <c r="B3" t="s">
        <v>65</v>
      </c>
      <c r="C3" t="s">
        <v>4338</v>
      </c>
      <c r="D3" t="s">
        <v>4339</v>
      </c>
    </row>
    <row r="4" spans="1:4">
      <c r="A4" t="s">
        <v>4340</v>
      </c>
      <c r="B4" t="s">
        <v>61</v>
      </c>
      <c r="C4" t="s">
        <v>4341</v>
      </c>
      <c r="D4" t="s">
        <v>4342</v>
      </c>
    </row>
    <row r="5" spans="1:4">
      <c r="A5" t="s">
        <v>3840</v>
      </c>
      <c r="B5" t="s">
        <v>67</v>
      </c>
      <c r="C5" t="s">
        <v>3841</v>
      </c>
      <c r="D5" t="s">
        <v>4343</v>
      </c>
    </row>
    <row r="6" spans="1:4">
      <c r="A6" t="s">
        <v>4344</v>
      </c>
      <c r="B6" t="s">
        <v>39</v>
      </c>
      <c r="C6" t="s">
        <v>3379</v>
      </c>
      <c r="D6" t="s">
        <v>4345</v>
      </c>
    </row>
    <row r="7" spans="1:4">
      <c r="A7" t="s">
        <v>4344</v>
      </c>
      <c r="B7" t="s">
        <v>39</v>
      </c>
      <c r="C7" t="s">
        <v>3823</v>
      </c>
      <c r="D7" t="s">
        <v>4346</v>
      </c>
    </row>
    <row r="8" spans="1:4">
      <c r="A8" t="s">
        <v>4344</v>
      </c>
      <c r="B8" t="s">
        <v>39</v>
      </c>
      <c r="C8" t="s">
        <v>4347</v>
      </c>
      <c r="D8" t="s">
        <v>4348</v>
      </c>
    </row>
    <row r="9" spans="1:4">
      <c r="A9" t="s">
        <v>4344</v>
      </c>
      <c r="B9" t="s">
        <v>39</v>
      </c>
      <c r="C9" t="s">
        <v>4349</v>
      </c>
      <c r="D9" t="s">
        <v>4350</v>
      </c>
    </row>
    <row r="10" spans="1:4">
      <c r="A10" t="s">
        <v>3882</v>
      </c>
      <c r="B10" t="s">
        <v>39</v>
      </c>
      <c r="C10" t="s">
        <v>4351</v>
      </c>
      <c r="D10" t="s">
        <v>4352</v>
      </c>
    </row>
    <row r="11" spans="1:4">
      <c r="A11" t="s">
        <v>3882</v>
      </c>
      <c r="B11" t="s">
        <v>39</v>
      </c>
      <c r="C11" t="s">
        <v>4353</v>
      </c>
      <c r="D11" t="s">
        <v>4354</v>
      </c>
    </row>
    <row r="12" spans="1:4">
      <c r="A12" t="s">
        <v>3882</v>
      </c>
      <c r="B12" t="s">
        <v>39</v>
      </c>
      <c r="C12" t="s">
        <v>4355</v>
      </c>
      <c r="D12" t="s">
        <v>4356</v>
      </c>
    </row>
    <row r="13" spans="1:4">
      <c r="A13" t="s">
        <v>3565</v>
      </c>
      <c r="B13" t="s">
        <v>39</v>
      </c>
      <c r="C13" t="s">
        <v>4333</v>
      </c>
      <c r="D13" t="s">
        <v>4357</v>
      </c>
    </row>
    <row r="14" spans="1:4">
      <c r="A14" t="s">
        <v>3815</v>
      </c>
      <c r="B14" t="s">
        <v>44</v>
      </c>
      <c r="C14" t="s">
        <v>3379</v>
      </c>
      <c r="D14" t="s">
        <v>4358</v>
      </c>
    </row>
    <row r="15" spans="1:4">
      <c r="A15" t="s">
        <v>3815</v>
      </c>
      <c r="B15" t="s">
        <v>44</v>
      </c>
      <c r="C15" t="s">
        <v>4204</v>
      </c>
      <c r="D15" t="s">
        <v>3858</v>
      </c>
    </row>
    <row r="16" spans="1:4">
      <c r="A16" t="s">
        <v>3815</v>
      </c>
      <c r="B16" t="s">
        <v>44</v>
      </c>
      <c r="C16" t="s">
        <v>4359</v>
      </c>
      <c r="D16" t="s">
        <v>4360</v>
      </c>
    </row>
    <row r="17" spans="1:4">
      <c r="A17" t="s">
        <v>4216</v>
      </c>
      <c r="B17" t="s">
        <v>44</v>
      </c>
      <c r="C17" t="s">
        <v>3874</v>
      </c>
      <c r="D17" t="s">
        <v>4361</v>
      </c>
    </row>
    <row r="18" spans="1:4">
      <c r="A18" t="s">
        <v>4216</v>
      </c>
      <c r="B18" t="s">
        <v>44</v>
      </c>
      <c r="C18" t="s">
        <v>3876</v>
      </c>
      <c r="D18" t="s">
        <v>4362</v>
      </c>
    </row>
    <row r="19" spans="1:4">
      <c r="A19" t="s">
        <v>4216</v>
      </c>
      <c r="B19" t="s">
        <v>44</v>
      </c>
      <c r="C19" t="s">
        <v>4363</v>
      </c>
      <c r="D19" t="s">
        <v>4364</v>
      </c>
    </row>
    <row r="20" spans="1:4">
      <c r="A20" t="s">
        <v>3386</v>
      </c>
      <c r="B20" t="s">
        <v>35</v>
      </c>
      <c r="C20" t="s">
        <v>4365</v>
      </c>
      <c r="D20" t="s">
        <v>4366</v>
      </c>
    </row>
    <row r="21" spans="1:4">
      <c r="A21" t="s">
        <v>3414</v>
      </c>
      <c r="B21" t="s">
        <v>35</v>
      </c>
      <c r="C21" t="s">
        <v>3379</v>
      </c>
      <c r="D21" t="s">
        <v>4367</v>
      </c>
    </row>
    <row r="22" spans="1:4">
      <c r="A22" t="s">
        <v>3414</v>
      </c>
      <c r="B22" t="s">
        <v>35</v>
      </c>
      <c r="C22" t="s">
        <v>4225</v>
      </c>
      <c r="D22" t="s">
        <v>4368</v>
      </c>
    </row>
    <row r="23" spans="1:4">
      <c r="A23" t="s">
        <v>4062</v>
      </c>
      <c r="B23" t="s">
        <v>35</v>
      </c>
      <c r="C23" t="s">
        <v>4333</v>
      </c>
      <c r="D23" t="s">
        <v>4357</v>
      </c>
    </row>
    <row r="24" spans="1:4">
      <c r="A24" t="s">
        <v>3455</v>
      </c>
      <c r="B24" t="s">
        <v>35</v>
      </c>
      <c r="C24" t="s">
        <v>4369</v>
      </c>
      <c r="D24" t="s">
        <v>4370</v>
      </c>
    </row>
    <row r="25" spans="1:4">
      <c r="A25" t="s">
        <v>3455</v>
      </c>
      <c r="B25" t="s">
        <v>35</v>
      </c>
      <c r="C25" t="s">
        <v>4371</v>
      </c>
      <c r="D25" t="s">
        <v>4372</v>
      </c>
    </row>
    <row r="26" spans="1:4">
      <c r="A26" t="s">
        <v>3455</v>
      </c>
      <c r="B26" t="s">
        <v>35</v>
      </c>
      <c r="C26" t="s">
        <v>4373</v>
      </c>
      <c r="D26" t="s">
        <v>4374</v>
      </c>
    </row>
    <row r="27" spans="1:4">
      <c r="A27" t="s">
        <v>3865</v>
      </c>
      <c r="B27" s="6" t="s">
        <v>35</v>
      </c>
      <c r="C27" t="s">
        <v>4375</v>
      </c>
      <c r="D27" t="s">
        <v>4376</v>
      </c>
    </row>
    <row r="28" spans="1:4">
      <c r="A28" t="s">
        <v>3865</v>
      </c>
      <c r="B28" t="s">
        <v>35</v>
      </c>
      <c r="C28" t="s">
        <v>4351</v>
      </c>
      <c r="D28" t="s">
        <v>4377</v>
      </c>
    </row>
    <row r="29" spans="1:4">
      <c r="A29" t="s">
        <v>3865</v>
      </c>
      <c r="B29" t="s">
        <v>35</v>
      </c>
      <c r="C29" t="s">
        <v>4204</v>
      </c>
      <c r="D29" t="s">
        <v>4378</v>
      </c>
    </row>
    <row r="30" spans="1:4">
      <c r="A30" t="s">
        <v>3508</v>
      </c>
      <c r="B30" t="s">
        <v>35</v>
      </c>
      <c r="C30" t="s">
        <v>4379</v>
      </c>
      <c r="D30" t="s">
        <v>4380</v>
      </c>
    </row>
    <row r="31" spans="1:4">
      <c r="A31" t="s">
        <v>4381</v>
      </c>
      <c r="B31" t="s">
        <v>35</v>
      </c>
      <c r="C31" t="s">
        <v>4382</v>
      </c>
      <c r="D31" t="s">
        <v>3798</v>
      </c>
    </row>
    <row r="32" spans="1:4">
      <c r="A32" t="s">
        <v>4383</v>
      </c>
      <c r="B32" t="s">
        <v>47</v>
      </c>
      <c r="C32" t="s">
        <v>4384</v>
      </c>
      <c r="D32" t="s">
        <v>4385</v>
      </c>
    </row>
    <row r="33" spans="1:4">
      <c r="A33" t="s">
        <v>4074</v>
      </c>
      <c r="B33" t="s">
        <v>47</v>
      </c>
      <c r="C33" t="s">
        <v>4386</v>
      </c>
      <c r="D33" t="s">
        <v>4387</v>
      </c>
    </row>
    <row r="34" spans="1:4">
      <c r="A34" t="s">
        <v>3885</v>
      </c>
      <c r="B34" t="s">
        <v>47</v>
      </c>
      <c r="C34" t="s">
        <v>3886</v>
      </c>
      <c r="D34" t="s">
        <v>4388</v>
      </c>
    </row>
    <row r="35" spans="1:4">
      <c r="A35" t="s">
        <v>3890</v>
      </c>
      <c r="B35" t="s">
        <v>47</v>
      </c>
      <c r="C35" t="s">
        <v>4389</v>
      </c>
      <c r="D35" t="s">
        <v>4390</v>
      </c>
    </row>
    <row r="36" spans="1:4">
      <c r="A36" t="s">
        <v>4244</v>
      </c>
      <c r="B36" t="s">
        <v>47</v>
      </c>
      <c r="C36" t="s">
        <v>4391</v>
      </c>
      <c r="D36" t="s">
        <v>4392</v>
      </c>
    </row>
    <row r="37" spans="1:4">
      <c r="A37" t="s">
        <v>4393</v>
      </c>
      <c r="B37" t="s">
        <v>41</v>
      </c>
      <c r="C37" t="s">
        <v>3379</v>
      </c>
      <c r="D37" t="s">
        <v>4394</v>
      </c>
    </row>
    <row r="38" spans="1:4">
      <c r="A38" t="s">
        <v>4393</v>
      </c>
      <c r="B38" t="s">
        <v>41</v>
      </c>
      <c r="C38" t="s">
        <v>3823</v>
      </c>
      <c r="D38" t="s">
        <v>4395</v>
      </c>
    </row>
    <row r="39" spans="1:4">
      <c r="A39" t="s">
        <v>2061</v>
      </c>
      <c r="B39" t="s">
        <v>41</v>
      </c>
      <c r="C39" t="s">
        <v>4396</v>
      </c>
      <c r="D39" t="s">
        <v>4397</v>
      </c>
    </row>
    <row r="40" spans="1:4">
      <c r="A40" t="s">
        <v>3893</v>
      </c>
      <c r="B40" t="s">
        <v>41</v>
      </c>
      <c r="C40" t="s">
        <v>3894</v>
      </c>
      <c r="D40" t="s">
        <v>4398</v>
      </c>
    </row>
    <row r="41" spans="1:4">
      <c r="A41" t="s">
        <v>3410</v>
      </c>
      <c r="B41" t="s">
        <v>157</v>
      </c>
      <c r="C41" t="s">
        <v>4399</v>
      </c>
      <c r="D41" t="s">
        <v>4400</v>
      </c>
    </row>
    <row r="42" spans="1:4">
      <c r="A42" t="s">
        <v>3410</v>
      </c>
      <c r="B42" t="s">
        <v>157</v>
      </c>
      <c r="C42" t="s">
        <v>3823</v>
      </c>
      <c r="D42" t="s">
        <v>4401</v>
      </c>
    </row>
    <row r="43" spans="1:4">
      <c r="A43" t="s">
        <v>3410</v>
      </c>
      <c r="B43" t="s">
        <v>157</v>
      </c>
      <c r="C43" t="s">
        <v>4252</v>
      </c>
      <c r="D43" t="s">
        <v>4402</v>
      </c>
    </row>
    <row r="44" spans="1:4">
      <c r="A44" t="s">
        <v>4403</v>
      </c>
      <c r="B44" t="s">
        <v>157</v>
      </c>
      <c r="C44" t="s">
        <v>3823</v>
      </c>
      <c r="D44" t="s">
        <v>4404</v>
      </c>
    </row>
    <row r="45" spans="1:4">
      <c r="A45" t="s">
        <v>3581</v>
      </c>
      <c r="B45" t="s">
        <v>44</v>
      </c>
      <c r="C45" t="s">
        <v>4405</v>
      </c>
      <c r="D45" t="s">
        <v>3617</v>
      </c>
    </row>
    <row r="46" spans="1:4">
      <c r="A46" t="s">
        <v>3581</v>
      </c>
      <c r="B46" t="s">
        <v>44</v>
      </c>
      <c r="C46" t="s">
        <v>4122</v>
      </c>
      <c r="D46" t="s">
        <v>4406</v>
      </c>
    </row>
    <row r="47" spans="1:4">
      <c r="A47" t="s">
        <v>3581</v>
      </c>
      <c r="B47" t="s">
        <v>44</v>
      </c>
      <c r="C47" t="s">
        <v>4254</v>
      </c>
      <c r="D47" t="s">
        <v>4407</v>
      </c>
    </row>
    <row r="48" spans="1:4">
      <c r="A48" t="s">
        <v>3603</v>
      </c>
      <c r="B48" t="s">
        <v>39</v>
      </c>
      <c r="C48" t="s">
        <v>4132</v>
      </c>
      <c r="D48" t="s">
        <v>4408</v>
      </c>
    </row>
    <row r="49" spans="1:4">
      <c r="A49" t="s">
        <v>3609</v>
      </c>
      <c r="B49" t="s">
        <v>44</v>
      </c>
      <c r="C49" t="s">
        <v>4351</v>
      </c>
      <c r="D49" t="s">
        <v>4409</v>
      </c>
    </row>
    <row r="50" spans="1:4">
      <c r="A50" t="s">
        <v>4410</v>
      </c>
      <c r="B50" t="s">
        <v>44</v>
      </c>
      <c r="C50" t="s">
        <v>4411</v>
      </c>
      <c r="D50" t="s">
        <v>4412</v>
      </c>
    </row>
    <row r="51" spans="1:4">
      <c r="A51" t="s">
        <v>3906</v>
      </c>
      <c r="B51" t="s">
        <v>39</v>
      </c>
      <c r="C51" t="s">
        <v>4413</v>
      </c>
      <c r="D51" t="s">
        <v>4414</v>
      </c>
    </row>
    <row r="52" spans="1:4">
      <c r="A52" t="s">
        <v>3626</v>
      </c>
      <c r="B52" t="s">
        <v>158</v>
      </c>
      <c r="C52" t="s">
        <v>4415</v>
      </c>
      <c r="D52" t="s">
        <v>4416</v>
      </c>
    </row>
    <row r="53" spans="1:4">
      <c r="A53" t="s">
        <v>3918</v>
      </c>
      <c r="B53" t="s">
        <v>47</v>
      </c>
      <c r="C53" t="s">
        <v>4417</v>
      </c>
      <c r="D53" t="s">
        <v>4418</v>
      </c>
    </row>
    <row r="54" spans="1:4">
      <c r="A54" t="s">
        <v>3918</v>
      </c>
      <c r="B54" t="s">
        <v>47</v>
      </c>
      <c r="C54" t="s">
        <v>4204</v>
      </c>
      <c r="D54" t="s">
        <v>3858</v>
      </c>
    </row>
    <row r="55" spans="1:4">
      <c r="A55" t="s">
        <v>3918</v>
      </c>
      <c r="B55" t="s">
        <v>47</v>
      </c>
      <c r="C55" t="s">
        <v>3921</v>
      </c>
      <c r="D55" t="s">
        <v>4419</v>
      </c>
    </row>
    <row r="56" spans="1:4">
      <c r="A56" t="s">
        <v>3925</v>
      </c>
      <c r="B56" t="s">
        <v>39</v>
      </c>
      <c r="C56" t="s">
        <v>4256</v>
      </c>
      <c r="D56" t="s">
        <v>4420</v>
      </c>
    </row>
    <row r="57" spans="1:4">
      <c r="A57" t="s">
        <v>4421</v>
      </c>
      <c r="B57" t="s">
        <v>80</v>
      </c>
      <c r="C57" t="s">
        <v>4422</v>
      </c>
      <c r="D57" t="s">
        <v>4423</v>
      </c>
    </row>
    <row r="58" spans="1:4">
      <c r="A58" t="s">
        <v>3931</v>
      </c>
      <c r="B58" t="s">
        <v>67</v>
      </c>
      <c r="C58" t="s">
        <v>3932</v>
      </c>
      <c r="D58" t="s">
        <v>3803</v>
      </c>
    </row>
    <row r="59" spans="1:4">
      <c r="A59" t="s">
        <v>4424</v>
      </c>
      <c r="B59" t="s">
        <v>158</v>
      </c>
      <c r="C59" t="s">
        <v>4425</v>
      </c>
      <c r="D59" t="s">
        <v>4426</v>
      </c>
    </row>
    <row r="60" spans="1:4">
      <c r="A60" t="s">
        <v>4278</v>
      </c>
      <c r="B60" t="s">
        <v>35</v>
      </c>
      <c r="C60" t="s">
        <v>4279</v>
      </c>
      <c r="D60" t="s">
        <v>3881</v>
      </c>
    </row>
    <row r="61" spans="1:4">
      <c r="A61" t="s">
        <v>4427</v>
      </c>
      <c r="B61" t="s">
        <v>33</v>
      </c>
      <c r="C61" t="s">
        <v>4428</v>
      </c>
      <c r="D61" t="s">
        <v>4429</v>
      </c>
    </row>
    <row r="62" spans="1:4">
      <c r="A62" t="s">
        <v>3694</v>
      </c>
      <c r="B62" t="s">
        <v>65</v>
      </c>
      <c r="C62" t="s">
        <v>3823</v>
      </c>
      <c r="D62" t="s">
        <v>4430</v>
      </c>
    </row>
    <row r="63" spans="1:4">
      <c r="A63" t="s">
        <v>3694</v>
      </c>
      <c r="B63" t="s">
        <v>65</v>
      </c>
      <c r="C63" t="s">
        <v>4007</v>
      </c>
      <c r="D63" t="s">
        <v>4431</v>
      </c>
    </row>
    <row r="64" spans="1:4">
      <c r="A64" t="s">
        <v>3694</v>
      </c>
      <c r="B64" t="s">
        <v>65</v>
      </c>
      <c r="C64" t="s">
        <v>3964</v>
      </c>
      <c r="D64" t="s">
        <v>4432</v>
      </c>
    </row>
    <row r="65" spans="1:4">
      <c r="A65" t="s">
        <v>4433</v>
      </c>
      <c r="B65" t="s">
        <v>41</v>
      </c>
      <c r="C65" t="s">
        <v>4434</v>
      </c>
      <c r="D65" t="s">
        <v>4435</v>
      </c>
    </row>
    <row r="66" spans="1:4">
      <c r="A66" t="s">
        <v>4436</v>
      </c>
      <c r="B66" t="s">
        <v>39</v>
      </c>
      <c r="C66" t="s">
        <v>4437</v>
      </c>
      <c r="D66" t="s">
        <v>4255</v>
      </c>
    </row>
    <row r="67" spans="1:4">
      <c r="A67" t="s">
        <v>4438</v>
      </c>
      <c r="B67" t="s">
        <v>157</v>
      </c>
      <c r="C67" t="s">
        <v>4291</v>
      </c>
      <c r="D67" t="s">
        <v>4292</v>
      </c>
    </row>
    <row r="68" spans="1:4">
      <c r="A68" t="s">
        <v>4439</v>
      </c>
      <c r="B68" t="s">
        <v>44</v>
      </c>
      <c r="C68" t="s">
        <v>3921</v>
      </c>
      <c r="D68" t="s">
        <v>4440</v>
      </c>
    </row>
    <row r="69" spans="1:4">
      <c r="A69" t="s">
        <v>4158</v>
      </c>
      <c r="B69" t="s">
        <v>47</v>
      </c>
      <c r="C69" t="s">
        <v>4293</v>
      </c>
      <c r="D69" t="s">
        <v>4441</v>
      </c>
    </row>
    <row r="70" spans="1:4">
      <c r="A70" t="s">
        <v>4442</v>
      </c>
      <c r="B70" t="s">
        <v>61</v>
      </c>
      <c r="C70" t="s">
        <v>4443</v>
      </c>
      <c r="D70" t="s">
        <v>3954</v>
      </c>
    </row>
    <row r="71" spans="1:4">
      <c r="A71" t="s">
        <v>3717</v>
      </c>
      <c r="B71" t="s">
        <v>35</v>
      </c>
      <c r="C71" t="s">
        <v>4007</v>
      </c>
      <c r="D71" t="s">
        <v>4444</v>
      </c>
    </row>
    <row r="72" spans="1:4">
      <c r="A72" t="s">
        <v>3717</v>
      </c>
      <c r="B72" t="s">
        <v>35</v>
      </c>
      <c r="C72" t="s">
        <v>3979</v>
      </c>
      <c r="D72" t="s">
        <v>4445</v>
      </c>
    </row>
    <row r="73" spans="1:4">
      <c r="A73" t="s">
        <v>4164</v>
      </c>
      <c r="B73" t="s">
        <v>35</v>
      </c>
      <c r="C73" t="s">
        <v>4446</v>
      </c>
      <c r="D73" t="s">
        <v>3481</v>
      </c>
    </row>
    <row r="74" spans="1:4">
      <c r="A74" t="s">
        <v>3986</v>
      </c>
      <c r="B74" t="s">
        <v>39</v>
      </c>
      <c r="C74" t="s">
        <v>4266</v>
      </c>
      <c r="D74" t="s">
        <v>4447</v>
      </c>
    </row>
    <row r="75" spans="1:4">
      <c r="A75" t="s">
        <v>3724</v>
      </c>
      <c r="B75" t="s">
        <v>157</v>
      </c>
      <c r="C75" t="s">
        <v>4448</v>
      </c>
      <c r="D75" t="s">
        <v>4449</v>
      </c>
    </row>
    <row r="76" spans="1:4">
      <c r="A76" t="s">
        <v>4304</v>
      </c>
      <c r="B76" t="s">
        <v>777</v>
      </c>
      <c r="C76" t="s">
        <v>4450</v>
      </c>
      <c r="D76" t="s">
        <v>4451</v>
      </c>
    </row>
    <row r="77" spans="1:4">
      <c r="A77" t="s">
        <v>4452</v>
      </c>
      <c r="B77" t="s">
        <v>47</v>
      </c>
      <c r="C77" t="s">
        <v>4453</v>
      </c>
      <c r="D77" t="s">
        <v>4454</v>
      </c>
    </row>
    <row r="78" spans="1:4">
      <c r="A78" t="s">
        <v>4455</v>
      </c>
      <c r="B78" t="s">
        <v>47</v>
      </c>
      <c r="C78" t="s">
        <v>4456</v>
      </c>
      <c r="D78" t="s">
        <v>4457</v>
      </c>
    </row>
    <row r="79" spans="1:4">
      <c r="A79" t="s">
        <v>4174</v>
      </c>
      <c r="B79" t="s">
        <v>47</v>
      </c>
      <c r="C79" t="s">
        <v>4458</v>
      </c>
      <c r="D79" t="s">
        <v>3971</v>
      </c>
    </row>
    <row r="80" spans="1:4">
      <c r="A80" t="s">
        <v>3996</v>
      </c>
      <c r="B80" t="s">
        <v>39</v>
      </c>
      <c r="C80" t="s">
        <v>4459</v>
      </c>
      <c r="D80" t="s">
        <v>4460</v>
      </c>
    </row>
    <row r="81" spans="1:4">
      <c r="A81" t="s">
        <v>3996</v>
      </c>
      <c r="B81" t="s">
        <v>39</v>
      </c>
      <c r="C81" t="s">
        <v>3379</v>
      </c>
      <c r="D81" t="s">
        <v>4461</v>
      </c>
    </row>
    <row r="82" spans="1:4">
      <c r="A82" t="s">
        <v>3996</v>
      </c>
      <c r="B82" t="s">
        <v>39</v>
      </c>
      <c r="C82" t="s">
        <v>3823</v>
      </c>
      <c r="D82" t="s">
        <v>4461</v>
      </c>
    </row>
    <row r="83" spans="1:4">
      <c r="A83" t="s">
        <v>3996</v>
      </c>
      <c r="B83" t="s">
        <v>39</v>
      </c>
      <c r="C83" t="s">
        <v>4462</v>
      </c>
      <c r="D83" t="s">
        <v>4463</v>
      </c>
    </row>
    <row r="84" spans="1:4">
      <c r="A84" t="s">
        <v>3999</v>
      </c>
      <c r="B84" t="s">
        <v>44</v>
      </c>
      <c r="C84" t="s">
        <v>3379</v>
      </c>
      <c r="D84" t="s">
        <v>4464</v>
      </c>
    </row>
    <row r="85" spans="1:4">
      <c r="A85" t="s">
        <v>3999</v>
      </c>
      <c r="B85" t="s">
        <v>44</v>
      </c>
      <c r="C85" t="s">
        <v>4001</v>
      </c>
      <c r="D85" t="s">
        <v>4465</v>
      </c>
    </row>
    <row r="86" spans="1:4">
      <c r="A86" t="s">
        <v>3759</v>
      </c>
      <c r="B86" t="s">
        <v>35</v>
      </c>
      <c r="C86" t="s">
        <v>4466</v>
      </c>
      <c r="D86" t="s">
        <v>4467</v>
      </c>
    </row>
    <row r="87" spans="1:4">
      <c r="A87" t="s">
        <v>3759</v>
      </c>
      <c r="B87" t="s">
        <v>35</v>
      </c>
      <c r="C87" t="s">
        <v>4204</v>
      </c>
      <c r="D87" t="s">
        <v>4468</v>
      </c>
    </row>
    <row r="88" spans="1:4">
      <c r="A88" t="s">
        <v>4011</v>
      </c>
      <c r="B88" t="s">
        <v>47</v>
      </c>
      <c r="C88" t="s">
        <v>4012</v>
      </c>
      <c r="D88" t="s">
        <v>4469</v>
      </c>
    </row>
    <row r="89" spans="1:4">
      <c r="A89" t="s">
        <v>4011</v>
      </c>
      <c r="B89" t="s">
        <v>47</v>
      </c>
      <c r="C89" t="s">
        <v>3823</v>
      </c>
      <c r="D89" t="s">
        <v>4470</v>
      </c>
    </row>
    <row r="90" spans="1:4">
      <c r="A90" t="s">
        <v>4011</v>
      </c>
      <c r="B90" t="s">
        <v>47</v>
      </c>
      <c r="C90" t="s">
        <v>3823</v>
      </c>
      <c r="D90" t="s">
        <v>4471</v>
      </c>
    </row>
    <row r="91" spans="1:4">
      <c r="A91" t="s">
        <v>4472</v>
      </c>
      <c r="B91" t="s">
        <v>41</v>
      </c>
      <c r="C91" t="s">
        <v>4473</v>
      </c>
      <c r="D91" t="s">
        <v>3481</v>
      </c>
    </row>
    <row r="92" spans="1:4">
      <c r="A92" t="s">
        <v>4472</v>
      </c>
      <c r="B92" t="s">
        <v>41</v>
      </c>
      <c r="C92" t="s">
        <v>4020</v>
      </c>
      <c r="D92" t="s">
        <v>4474</v>
      </c>
    </row>
    <row r="93" spans="1:4">
      <c r="A93" t="s">
        <v>4194</v>
      </c>
      <c r="B93" t="s">
        <v>39</v>
      </c>
      <c r="C93" t="s">
        <v>4475</v>
      </c>
      <c r="D93" t="s">
        <v>4476</v>
      </c>
    </row>
    <row r="94" spans="1:4">
      <c r="A94" t="s">
        <v>4037</v>
      </c>
      <c r="B94" t="s">
        <v>35</v>
      </c>
      <c r="C94" t="s">
        <v>4038</v>
      </c>
      <c r="D94" t="s">
        <v>4477</v>
      </c>
    </row>
    <row r="95" spans="1:4">
      <c r="A95" t="s">
        <v>3786</v>
      </c>
      <c r="B95" t="s">
        <v>33</v>
      </c>
      <c r="C95" t="s">
        <v>4333</v>
      </c>
      <c r="D95" t="s">
        <v>4478</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3F8B-155A-46BE-AD15-4E2DED7E5F50}">
  <dimension ref="A1:D155"/>
  <sheetViews>
    <sheetView workbookViewId="0">
      <selection activeCell="H109" sqref="H109"/>
    </sheetView>
  </sheetViews>
  <sheetFormatPr defaultRowHeight="14.45"/>
  <cols>
    <col min="1" max="1" width="52.28515625" bestFit="1" customWidth="1"/>
    <col min="2" max="2" width="10" bestFit="1" customWidth="1"/>
    <col min="3" max="3" width="80.85546875" bestFit="1" customWidth="1"/>
    <col min="4" max="4" width="11.42578125" bestFit="1" customWidth="1"/>
  </cols>
  <sheetData>
    <row r="1" spans="1:4">
      <c r="A1" t="s">
        <v>3355</v>
      </c>
      <c r="B1" t="s">
        <v>1</v>
      </c>
      <c r="C1" t="s">
        <v>3356</v>
      </c>
      <c r="D1" t="s">
        <v>4479</v>
      </c>
    </row>
    <row r="2" spans="1:4">
      <c r="A2" t="s">
        <v>3386</v>
      </c>
      <c r="B2" s="6" t="s">
        <v>35</v>
      </c>
      <c r="C2" t="s">
        <v>4480</v>
      </c>
      <c r="D2" t="s">
        <v>4481</v>
      </c>
    </row>
    <row r="3" spans="1:4">
      <c r="A3" t="s">
        <v>3386</v>
      </c>
      <c r="B3" t="s">
        <v>35</v>
      </c>
      <c r="C3" t="s">
        <v>4221</v>
      </c>
      <c r="D3" t="s">
        <v>4482</v>
      </c>
    </row>
    <row r="4" spans="1:4">
      <c r="A4" t="s">
        <v>3386</v>
      </c>
      <c r="B4" t="s">
        <v>35</v>
      </c>
      <c r="C4" t="s">
        <v>4483</v>
      </c>
      <c r="D4" t="s">
        <v>4484</v>
      </c>
    </row>
    <row r="5" spans="1:4">
      <c r="A5" t="s">
        <v>3386</v>
      </c>
      <c r="B5" t="s">
        <v>35</v>
      </c>
      <c r="C5" t="s">
        <v>4485</v>
      </c>
      <c r="D5" t="s">
        <v>4486</v>
      </c>
    </row>
    <row r="6" spans="1:4">
      <c r="A6" t="s">
        <v>3799</v>
      </c>
      <c r="B6" t="s">
        <v>47</v>
      </c>
      <c r="C6" t="s">
        <v>4466</v>
      </c>
      <c r="D6" t="s">
        <v>4487</v>
      </c>
    </row>
    <row r="7" spans="1:4">
      <c r="A7" t="s">
        <v>4488</v>
      </c>
      <c r="B7" t="s">
        <v>113</v>
      </c>
      <c r="C7" t="s">
        <v>4480</v>
      </c>
      <c r="D7" t="s">
        <v>4489</v>
      </c>
    </row>
    <row r="8" spans="1:4">
      <c r="A8" t="s">
        <v>4344</v>
      </c>
      <c r="B8" t="s">
        <v>39</v>
      </c>
      <c r="C8" t="s">
        <v>3379</v>
      </c>
      <c r="D8" t="s">
        <v>4490</v>
      </c>
    </row>
    <row r="9" spans="1:4">
      <c r="A9" t="s">
        <v>4344</v>
      </c>
      <c r="B9" t="s">
        <v>39</v>
      </c>
      <c r="C9" t="s">
        <v>4491</v>
      </c>
      <c r="D9" t="s">
        <v>3806</v>
      </c>
    </row>
    <row r="10" spans="1:4">
      <c r="A10" t="s">
        <v>4344</v>
      </c>
      <c r="B10" t="s">
        <v>39</v>
      </c>
      <c r="C10" t="s">
        <v>4349</v>
      </c>
      <c r="D10" t="s">
        <v>4492</v>
      </c>
    </row>
    <row r="11" spans="1:4">
      <c r="A11" t="s">
        <v>4393</v>
      </c>
      <c r="B11" t="s">
        <v>41</v>
      </c>
      <c r="C11" t="s">
        <v>3379</v>
      </c>
      <c r="D11" t="s">
        <v>4493</v>
      </c>
    </row>
    <row r="12" spans="1:4">
      <c r="A12" t="s">
        <v>2061</v>
      </c>
      <c r="B12" t="s">
        <v>39</v>
      </c>
      <c r="C12" t="s">
        <v>4396</v>
      </c>
      <c r="D12" t="s">
        <v>4494</v>
      </c>
    </row>
    <row r="13" spans="1:4">
      <c r="A13" t="s">
        <v>3410</v>
      </c>
      <c r="B13" t="s">
        <v>157</v>
      </c>
      <c r="C13" t="s">
        <v>4399</v>
      </c>
      <c r="D13" t="s">
        <v>4495</v>
      </c>
    </row>
    <row r="14" spans="1:4">
      <c r="A14" t="s">
        <v>3414</v>
      </c>
      <c r="B14" t="s">
        <v>35</v>
      </c>
      <c r="C14" t="s">
        <v>3379</v>
      </c>
      <c r="D14" t="s">
        <v>4496</v>
      </c>
    </row>
    <row r="15" spans="1:4">
      <c r="A15" t="s">
        <v>3414</v>
      </c>
      <c r="B15" t="s">
        <v>35</v>
      </c>
      <c r="C15" t="s">
        <v>4497</v>
      </c>
      <c r="D15" t="s">
        <v>4498</v>
      </c>
    </row>
    <row r="16" spans="1:4">
      <c r="A16" t="s">
        <v>3414</v>
      </c>
      <c r="B16" t="s">
        <v>35</v>
      </c>
      <c r="C16" t="s">
        <v>4223</v>
      </c>
      <c r="D16" t="s">
        <v>3881</v>
      </c>
    </row>
    <row r="17" spans="1:4">
      <c r="A17" t="s">
        <v>4062</v>
      </c>
      <c r="B17" t="s">
        <v>35</v>
      </c>
      <c r="C17" t="s">
        <v>4499</v>
      </c>
      <c r="D17" t="s">
        <v>4500</v>
      </c>
    </row>
    <row r="18" spans="1:4">
      <c r="A18" t="s">
        <v>4501</v>
      </c>
      <c r="B18" t="s">
        <v>47</v>
      </c>
      <c r="C18" t="s">
        <v>4502</v>
      </c>
      <c r="D18" t="s">
        <v>4503</v>
      </c>
    </row>
    <row r="19" spans="1:4">
      <c r="A19" t="s">
        <v>4074</v>
      </c>
      <c r="B19" t="s">
        <v>47</v>
      </c>
      <c r="C19" t="s">
        <v>4386</v>
      </c>
      <c r="D19" t="s">
        <v>4504</v>
      </c>
    </row>
    <row r="20" spans="1:4">
      <c r="A20" t="s">
        <v>4074</v>
      </c>
      <c r="B20" t="s">
        <v>47</v>
      </c>
      <c r="C20" t="s">
        <v>4375</v>
      </c>
      <c r="D20" t="s">
        <v>4505</v>
      </c>
    </row>
    <row r="21" spans="1:4">
      <c r="A21" t="s">
        <v>4076</v>
      </c>
      <c r="B21" t="s">
        <v>39</v>
      </c>
      <c r="C21" t="s">
        <v>4506</v>
      </c>
      <c r="D21" t="s">
        <v>4507</v>
      </c>
    </row>
    <row r="22" spans="1:4">
      <c r="A22" t="s">
        <v>4081</v>
      </c>
      <c r="B22" t="s">
        <v>35</v>
      </c>
      <c r="C22" t="s">
        <v>4223</v>
      </c>
      <c r="D22" t="s">
        <v>3881</v>
      </c>
    </row>
    <row r="23" spans="1:4">
      <c r="A23" t="s">
        <v>4340</v>
      </c>
      <c r="B23" s="6" t="s">
        <v>61</v>
      </c>
      <c r="C23" t="s">
        <v>4341</v>
      </c>
      <c r="D23" t="s">
        <v>4508</v>
      </c>
    </row>
    <row r="24" spans="1:4">
      <c r="A24" t="s">
        <v>4509</v>
      </c>
      <c r="B24" t="s">
        <v>39</v>
      </c>
      <c r="C24" t="s">
        <v>4510</v>
      </c>
      <c r="D24" t="s">
        <v>4511</v>
      </c>
    </row>
    <row r="25" spans="1:4">
      <c r="A25" t="s">
        <v>4509</v>
      </c>
      <c r="B25" t="s">
        <v>39</v>
      </c>
      <c r="C25" t="s">
        <v>4256</v>
      </c>
      <c r="D25" t="s">
        <v>4512</v>
      </c>
    </row>
    <row r="26" spans="1:4">
      <c r="A26" t="s">
        <v>4513</v>
      </c>
      <c r="B26" t="s">
        <v>47</v>
      </c>
      <c r="C26" t="s">
        <v>4514</v>
      </c>
      <c r="D26" t="s">
        <v>4515</v>
      </c>
    </row>
    <row r="27" spans="1:4">
      <c r="A27" t="s">
        <v>4516</v>
      </c>
      <c r="B27" t="s">
        <v>95</v>
      </c>
      <c r="C27" t="s">
        <v>4514</v>
      </c>
      <c r="D27" t="s">
        <v>4517</v>
      </c>
    </row>
    <row r="28" spans="1:4">
      <c r="A28" t="s">
        <v>4518</v>
      </c>
      <c r="B28" t="s">
        <v>35</v>
      </c>
      <c r="C28" t="s">
        <v>4502</v>
      </c>
      <c r="D28" t="s">
        <v>4519</v>
      </c>
    </row>
    <row r="29" spans="1:4">
      <c r="A29" t="s">
        <v>4097</v>
      </c>
      <c r="B29" t="s">
        <v>95</v>
      </c>
      <c r="C29" t="s">
        <v>4223</v>
      </c>
      <c r="D29" t="s">
        <v>3881</v>
      </c>
    </row>
    <row r="30" spans="1:4">
      <c r="A30" t="s">
        <v>4520</v>
      </c>
      <c r="B30" t="s">
        <v>35</v>
      </c>
      <c r="C30" t="s">
        <v>4521</v>
      </c>
      <c r="D30" t="s">
        <v>4522</v>
      </c>
    </row>
    <row r="31" spans="1:4">
      <c r="A31" t="s">
        <v>4520</v>
      </c>
      <c r="B31" t="s">
        <v>35</v>
      </c>
      <c r="C31" t="s">
        <v>4523</v>
      </c>
      <c r="D31" t="s">
        <v>4524</v>
      </c>
    </row>
    <row r="32" spans="1:4">
      <c r="A32" t="s">
        <v>4520</v>
      </c>
      <c r="B32" t="s">
        <v>35</v>
      </c>
      <c r="C32" t="s">
        <v>4525</v>
      </c>
      <c r="D32" t="s">
        <v>4526</v>
      </c>
    </row>
    <row r="33" spans="1:4">
      <c r="A33" t="s">
        <v>4520</v>
      </c>
      <c r="B33" t="s">
        <v>35</v>
      </c>
      <c r="C33" t="s">
        <v>4527</v>
      </c>
      <c r="D33" t="s">
        <v>4528</v>
      </c>
    </row>
    <row r="34" spans="1:4">
      <c r="A34" t="s">
        <v>4106</v>
      </c>
      <c r="B34" t="s">
        <v>44</v>
      </c>
      <c r="C34" t="s">
        <v>4529</v>
      </c>
      <c r="D34" t="s">
        <v>4530</v>
      </c>
    </row>
    <row r="35" spans="1:4">
      <c r="A35" t="s">
        <v>4106</v>
      </c>
      <c r="B35" t="s">
        <v>44</v>
      </c>
      <c r="C35" t="s">
        <v>4531</v>
      </c>
      <c r="D35" t="s">
        <v>4532</v>
      </c>
    </row>
    <row r="36" spans="1:4">
      <c r="A36" t="s">
        <v>3533</v>
      </c>
      <c r="B36" t="s">
        <v>39</v>
      </c>
      <c r="C36" t="s">
        <v>4533</v>
      </c>
      <c r="D36" t="s">
        <v>4387</v>
      </c>
    </row>
    <row r="37" spans="1:4">
      <c r="A37" t="s">
        <v>3533</v>
      </c>
      <c r="B37" t="s">
        <v>39</v>
      </c>
      <c r="C37" t="s">
        <v>4534</v>
      </c>
      <c r="D37" t="s">
        <v>4535</v>
      </c>
    </row>
    <row r="38" spans="1:4">
      <c r="A38" t="s">
        <v>3533</v>
      </c>
      <c r="B38" t="s">
        <v>39</v>
      </c>
      <c r="C38" t="s">
        <v>4536</v>
      </c>
      <c r="D38" t="s">
        <v>4537</v>
      </c>
    </row>
    <row r="39" spans="1:4">
      <c r="A39" t="s">
        <v>3533</v>
      </c>
      <c r="B39" t="s">
        <v>39</v>
      </c>
      <c r="C39" t="s">
        <v>4355</v>
      </c>
      <c r="D39" t="s">
        <v>4538</v>
      </c>
    </row>
    <row r="40" spans="1:4">
      <c r="A40" t="s">
        <v>3533</v>
      </c>
      <c r="B40" t="s">
        <v>39</v>
      </c>
      <c r="C40" t="s">
        <v>4502</v>
      </c>
      <c r="D40" t="s">
        <v>4539</v>
      </c>
    </row>
    <row r="41" spans="1:4">
      <c r="A41" t="s">
        <v>3890</v>
      </c>
      <c r="B41" t="s">
        <v>47</v>
      </c>
      <c r="C41" t="s">
        <v>4540</v>
      </c>
      <c r="D41" t="s">
        <v>4541</v>
      </c>
    </row>
    <row r="42" spans="1:4">
      <c r="A42" t="s">
        <v>3890</v>
      </c>
      <c r="B42" t="s">
        <v>47</v>
      </c>
      <c r="C42" t="s">
        <v>4333</v>
      </c>
      <c r="D42" t="s">
        <v>4542</v>
      </c>
    </row>
    <row r="43" spans="1:4">
      <c r="A43" t="s">
        <v>3565</v>
      </c>
      <c r="B43" t="s">
        <v>39</v>
      </c>
      <c r="C43" t="s">
        <v>4499</v>
      </c>
      <c r="D43" t="s">
        <v>4543</v>
      </c>
    </row>
    <row r="44" spans="1:4">
      <c r="A44" t="s">
        <v>4244</v>
      </c>
      <c r="B44" t="s">
        <v>47</v>
      </c>
      <c r="C44" t="s">
        <v>4514</v>
      </c>
      <c r="D44" t="s">
        <v>4544</v>
      </c>
    </row>
    <row r="45" spans="1:4">
      <c r="A45" t="s">
        <v>4244</v>
      </c>
      <c r="B45" t="s">
        <v>47</v>
      </c>
      <c r="C45" t="s">
        <v>4497</v>
      </c>
      <c r="D45" t="s">
        <v>4545</v>
      </c>
    </row>
    <row r="46" spans="1:4">
      <c r="A46" t="s">
        <v>4546</v>
      </c>
      <c r="B46" t="s">
        <v>331</v>
      </c>
      <c r="C46" t="s">
        <v>4547</v>
      </c>
      <c r="D46" t="s">
        <v>4548</v>
      </c>
    </row>
    <row r="47" spans="1:4">
      <c r="A47" t="s">
        <v>4546</v>
      </c>
      <c r="B47" t="s">
        <v>331</v>
      </c>
      <c r="C47" t="s">
        <v>4485</v>
      </c>
      <c r="D47" t="s">
        <v>4549</v>
      </c>
    </row>
    <row r="48" spans="1:4">
      <c r="A48" t="s">
        <v>4550</v>
      </c>
      <c r="B48" t="s">
        <v>39</v>
      </c>
      <c r="C48" t="s">
        <v>4551</v>
      </c>
      <c r="D48" t="s">
        <v>4552</v>
      </c>
    </row>
    <row r="49" spans="1:4">
      <c r="A49" t="s">
        <v>4553</v>
      </c>
      <c r="B49" t="s">
        <v>39</v>
      </c>
      <c r="C49" t="s">
        <v>4485</v>
      </c>
      <c r="D49" t="s">
        <v>4554</v>
      </c>
    </row>
    <row r="50" spans="1:4">
      <c r="A50" t="s">
        <v>4381</v>
      </c>
      <c r="B50" t="s">
        <v>35</v>
      </c>
      <c r="C50" t="s">
        <v>4293</v>
      </c>
      <c r="D50" t="s">
        <v>4555</v>
      </c>
    </row>
    <row r="51" spans="1:4">
      <c r="A51" t="s">
        <v>3576</v>
      </c>
      <c r="B51" t="s">
        <v>35</v>
      </c>
      <c r="C51" t="s">
        <v>4499</v>
      </c>
      <c r="D51" t="s">
        <v>4556</v>
      </c>
    </row>
    <row r="52" spans="1:4">
      <c r="A52" t="s">
        <v>3581</v>
      </c>
      <c r="B52" t="s">
        <v>44</v>
      </c>
      <c r="C52" t="s">
        <v>4557</v>
      </c>
      <c r="D52" t="s">
        <v>4558</v>
      </c>
    </row>
    <row r="53" spans="1:4">
      <c r="A53" t="s">
        <v>3581</v>
      </c>
      <c r="B53" t="s">
        <v>44</v>
      </c>
      <c r="C53" t="s">
        <v>4536</v>
      </c>
      <c r="D53" t="s">
        <v>4559</v>
      </c>
    </row>
    <row r="54" spans="1:4">
      <c r="A54" t="s">
        <v>3581</v>
      </c>
      <c r="B54" t="s">
        <v>44</v>
      </c>
      <c r="C54" t="s">
        <v>4560</v>
      </c>
      <c r="D54" t="s">
        <v>4561</v>
      </c>
    </row>
    <row r="55" spans="1:4">
      <c r="A55" t="s">
        <v>4562</v>
      </c>
      <c r="B55" t="s">
        <v>39</v>
      </c>
      <c r="C55" t="s">
        <v>4560</v>
      </c>
      <c r="D55" t="s">
        <v>3853</v>
      </c>
    </row>
    <row r="56" spans="1:4">
      <c r="A56" t="s">
        <v>4562</v>
      </c>
      <c r="B56" t="s">
        <v>39</v>
      </c>
      <c r="C56" t="s">
        <v>4510</v>
      </c>
      <c r="D56" t="s">
        <v>4563</v>
      </c>
    </row>
    <row r="57" spans="1:4">
      <c r="A57" t="s">
        <v>4562</v>
      </c>
      <c r="B57" t="s">
        <v>39</v>
      </c>
      <c r="C57" t="s">
        <v>4560</v>
      </c>
      <c r="D57" t="s">
        <v>4564</v>
      </c>
    </row>
    <row r="58" spans="1:4">
      <c r="A58" t="s">
        <v>4562</v>
      </c>
      <c r="B58" t="s">
        <v>39</v>
      </c>
      <c r="C58" t="s">
        <v>4510</v>
      </c>
      <c r="D58" t="s">
        <v>4565</v>
      </c>
    </row>
    <row r="59" spans="1:4">
      <c r="A59" t="s">
        <v>4562</v>
      </c>
      <c r="B59" t="s">
        <v>39</v>
      </c>
      <c r="C59" t="s">
        <v>4560</v>
      </c>
      <c r="D59" t="s">
        <v>3939</v>
      </c>
    </row>
    <row r="60" spans="1:4">
      <c r="A60" t="s">
        <v>4562</v>
      </c>
      <c r="B60" t="s">
        <v>39</v>
      </c>
      <c r="C60" t="s">
        <v>4510</v>
      </c>
      <c r="D60" t="s">
        <v>4565</v>
      </c>
    </row>
    <row r="61" spans="1:4">
      <c r="A61" t="s">
        <v>4562</v>
      </c>
      <c r="B61" t="s">
        <v>39</v>
      </c>
      <c r="C61" t="s">
        <v>4560</v>
      </c>
      <c r="D61" t="s">
        <v>4566</v>
      </c>
    </row>
    <row r="62" spans="1:4">
      <c r="A62" t="s">
        <v>4562</v>
      </c>
      <c r="B62" t="s">
        <v>39</v>
      </c>
      <c r="C62" t="s">
        <v>4510</v>
      </c>
      <c r="D62" t="s">
        <v>4567</v>
      </c>
    </row>
    <row r="63" spans="1:4">
      <c r="A63" t="s">
        <v>4568</v>
      </c>
      <c r="B63" t="s">
        <v>39</v>
      </c>
      <c r="C63" t="s">
        <v>4536</v>
      </c>
      <c r="D63" t="s">
        <v>4569</v>
      </c>
    </row>
    <row r="64" spans="1:4">
      <c r="A64" t="s">
        <v>4570</v>
      </c>
      <c r="B64" t="s">
        <v>331</v>
      </c>
      <c r="C64" t="s">
        <v>3984</v>
      </c>
      <c r="D64" t="s">
        <v>3985</v>
      </c>
    </row>
    <row r="65" spans="1:4">
      <c r="A65" t="s">
        <v>3603</v>
      </c>
      <c r="B65" t="s">
        <v>39</v>
      </c>
      <c r="C65" t="s">
        <v>3379</v>
      </c>
      <c r="D65" t="s">
        <v>4571</v>
      </c>
    </row>
    <row r="66" spans="1:4">
      <c r="A66" t="s">
        <v>3603</v>
      </c>
      <c r="B66" t="s">
        <v>39</v>
      </c>
      <c r="C66" t="s">
        <v>4572</v>
      </c>
      <c r="D66" t="s">
        <v>4573</v>
      </c>
    </row>
    <row r="67" spans="1:4">
      <c r="A67" t="s">
        <v>4574</v>
      </c>
      <c r="B67" t="s">
        <v>39</v>
      </c>
      <c r="C67" t="s">
        <v>4510</v>
      </c>
      <c r="D67" t="s">
        <v>4575</v>
      </c>
    </row>
    <row r="68" spans="1:4">
      <c r="A68" t="s">
        <v>4574</v>
      </c>
      <c r="B68" t="s">
        <v>39</v>
      </c>
      <c r="C68" t="s">
        <v>4510</v>
      </c>
      <c r="D68" t="s">
        <v>4576</v>
      </c>
    </row>
    <row r="69" spans="1:4">
      <c r="A69" t="s">
        <v>4574</v>
      </c>
      <c r="B69" t="s">
        <v>39</v>
      </c>
      <c r="C69" t="s">
        <v>4510</v>
      </c>
      <c r="D69" t="s">
        <v>4577</v>
      </c>
    </row>
    <row r="70" spans="1:4">
      <c r="A70" t="s">
        <v>4574</v>
      </c>
      <c r="B70" t="s">
        <v>39</v>
      </c>
      <c r="C70" t="s">
        <v>4510</v>
      </c>
      <c r="D70" t="s">
        <v>4578</v>
      </c>
    </row>
    <row r="71" spans="1:4">
      <c r="A71" t="s">
        <v>3609</v>
      </c>
      <c r="B71" t="s">
        <v>44</v>
      </c>
      <c r="C71" t="s">
        <v>4351</v>
      </c>
      <c r="D71" t="s">
        <v>4579</v>
      </c>
    </row>
    <row r="72" spans="1:4">
      <c r="A72" t="s">
        <v>3609</v>
      </c>
      <c r="B72" t="s">
        <v>44</v>
      </c>
      <c r="C72" t="s">
        <v>4499</v>
      </c>
      <c r="D72" t="s">
        <v>4580</v>
      </c>
    </row>
    <row r="73" spans="1:4">
      <c r="A73" t="s">
        <v>4581</v>
      </c>
      <c r="B73" t="s">
        <v>35</v>
      </c>
      <c r="C73" t="s">
        <v>4485</v>
      </c>
      <c r="D73" t="s">
        <v>3673</v>
      </c>
    </row>
    <row r="74" spans="1:4">
      <c r="A74" t="s">
        <v>4410</v>
      </c>
      <c r="B74" t="s">
        <v>44</v>
      </c>
      <c r="C74" t="s">
        <v>4582</v>
      </c>
      <c r="D74" t="s">
        <v>4583</v>
      </c>
    </row>
    <row r="75" spans="1:4">
      <c r="A75" t="s">
        <v>3906</v>
      </c>
      <c r="B75" t="s">
        <v>39</v>
      </c>
      <c r="C75" t="s">
        <v>3379</v>
      </c>
      <c r="D75" t="s">
        <v>4584</v>
      </c>
    </row>
    <row r="76" spans="1:4">
      <c r="A76" t="s">
        <v>3906</v>
      </c>
      <c r="B76" t="s">
        <v>39</v>
      </c>
      <c r="C76" t="s">
        <v>4204</v>
      </c>
      <c r="D76" t="s">
        <v>4585</v>
      </c>
    </row>
    <row r="77" spans="1:4">
      <c r="A77" t="s">
        <v>4586</v>
      </c>
      <c r="B77" t="s">
        <v>39</v>
      </c>
      <c r="C77" t="s">
        <v>4547</v>
      </c>
      <c r="D77" t="s">
        <v>4587</v>
      </c>
    </row>
    <row r="78" spans="1:4">
      <c r="A78" t="s">
        <v>4262</v>
      </c>
      <c r="B78" t="s">
        <v>41</v>
      </c>
      <c r="C78" t="s">
        <v>4263</v>
      </c>
      <c r="D78" t="s">
        <v>4588</v>
      </c>
    </row>
    <row r="79" spans="1:4">
      <c r="A79" t="s">
        <v>4262</v>
      </c>
      <c r="B79" t="s">
        <v>41</v>
      </c>
      <c r="C79" t="s">
        <v>4434</v>
      </c>
      <c r="D79" t="s">
        <v>4589</v>
      </c>
    </row>
    <row r="80" spans="1:4">
      <c r="A80" t="s">
        <v>3626</v>
      </c>
      <c r="B80" t="s">
        <v>158</v>
      </c>
      <c r="C80" t="s">
        <v>4590</v>
      </c>
      <c r="D80" t="s">
        <v>4591</v>
      </c>
    </row>
    <row r="81" spans="1:4">
      <c r="A81" t="s">
        <v>3636</v>
      </c>
      <c r="B81" t="s">
        <v>35</v>
      </c>
      <c r="C81" t="s">
        <v>4592</v>
      </c>
      <c r="D81" t="s">
        <v>4593</v>
      </c>
    </row>
    <row r="82" spans="1:4">
      <c r="A82" t="s">
        <v>3925</v>
      </c>
      <c r="B82" t="s">
        <v>39</v>
      </c>
      <c r="C82" t="s">
        <v>4510</v>
      </c>
      <c r="D82" t="s">
        <v>4594</v>
      </c>
    </row>
    <row r="83" spans="1:4">
      <c r="A83" t="s">
        <v>3925</v>
      </c>
      <c r="B83" t="s">
        <v>39</v>
      </c>
      <c r="C83" t="s">
        <v>4510</v>
      </c>
      <c r="D83" t="s">
        <v>4595</v>
      </c>
    </row>
    <row r="84" spans="1:4">
      <c r="A84" t="s">
        <v>3925</v>
      </c>
      <c r="B84" t="s">
        <v>39</v>
      </c>
      <c r="C84" t="s">
        <v>4510</v>
      </c>
      <c r="D84" t="s">
        <v>4596</v>
      </c>
    </row>
    <row r="85" spans="1:4">
      <c r="A85" t="s">
        <v>3925</v>
      </c>
      <c r="B85" t="s">
        <v>39</v>
      </c>
      <c r="C85" t="s">
        <v>4510</v>
      </c>
      <c r="D85" t="s">
        <v>4597</v>
      </c>
    </row>
    <row r="86" spans="1:4">
      <c r="A86" t="s">
        <v>4421</v>
      </c>
      <c r="B86" t="s">
        <v>80</v>
      </c>
      <c r="C86" t="s">
        <v>4422</v>
      </c>
      <c r="D86" t="s">
        <v>3673</v>
      </c>
    </row>
    <row r="87" spans="1:4">
      <c r="A87" t="s">
        <v>4598</v>
      </c>
      <c r="B87" t="s">
        <v>35</v>
      </c>
      <c r="C87" t="s">
        <v>4221</v>
      </c>
      <c r="D87" t="s">
        <v>4599</v>
      </c>
    </row>
    <row r="88" spans="1:4">
      <c r="A88" t="s">
        <v>4600</v>
      </c>
      <c r="B88" t="s">
        <v>640</v>
      </c>
      <c r="C88" t="s">
        <v>4293</v>
      </c>
      <c r="D88" t="s">
        <v>4601</v>
      </c>
    </row>
    <row r="89" spans="1:4">
      <c r="A89" t="s">
        <v>4602</v>
      </c>
      <c r="B89" t="s">
        <v>75</v>
      </c>
      <c r="C89" t="s">
        <v>4551</v>
      </c>
      <c r="D89" t="s">
        <v>4603</v>
      </c>
    </row>
    <row r="90" spans="1:4">
      <c r="A90" t="s">
        <v>4604</v>
      </c>
      <c r="B90" t="s">
        <v>640</v>
      </c>
      <c r="C90" t="s">
        <v>4293</v>
      </c>
      <c r="D90" t="s">
        <v>4605</v>
      </c>
    </row>
    <row r="91" spans="1:4">
      <c r="A91" t="s">
        <v>4606</v>
      </c>
      <c r="B91" t="s">
        <v>95</v>
      </c>
      <c r="C91" t="s">
        <v>4502</v>
      </c>
      <c r="D91" t="s">
        <v>4607</v>
      </c>
    </row>
    <row r="92" spans="1:4">
      <c r="A92" t="s">
        <v>3945</v>
      </c>
      <c r="B92" t="s">
        <v>41</v>
      </c>
      <c r="C92" t="s">
        <v>4608</v>
      </c>
      <c r="D92" t="s">
        <v>4609</v>
      </c>
    </row>
    <row r="93" spans="1:4">
      <c r="A93" t="s">
        <v>3945</v>
      </c>
      <c r="B93" t="s">
        <v>41</v>
      </c>
      <c r="C93" t="s">
        <v>4610</v>
      </c>
      <c r="D93" t="s">
        <v>4611</v>
      </c>
    </row>
    <row r="94" spans="1:4">
      <c r="A94" t="s">
        <v>3945</v>
      </c>
      <c r="B94" t="s">
        <v>41</v>
      </c>
      <c r="C94" t="s">
        <v>4610</v>
      </c>
      <c r="D94" t="s">
        <v>4611</v>
      </c>
    </row>
    <row r="95" spans="1:4">
      <c r="A95" t="s">
        <v>3945</v>
      </c>
      <c r="B95" t="s">
        <v>41</v>
      </c>
      <c r="C95" t="s">
        <v>4610</v>
      </c>
      <c r="D95" t="s">
        <v>4612</v>
      </c>
    </row>
    <row r="96" spans="1:4">
      <c r="A96" t="s">
        <v>3661</v>
      </c>
      <c r="B96" t="s">
        <v>33</v>
      </c>
      <c r="C96" t="s">
        <v>4531</v>
      </c>
      <c r="D96" t="s">
        <v>4613</v>
      </c>
    </row>
    <row r="97" spans="1:4">
      <c r="A97" t="s">
        <v>3661</v>
      </c>
      <c r="B97" t="s">
        <v>33</v>
      </c>
      <c r="C97" t="s">
        <v>4510</v>
      </c>
      <c r="D97" t="s">
        <v>4614</v>
      </c>
    </row>
    <row r="98" spans="1:4">
      <c r="A98" t="s">
        <v>3661</v>
      </c>
      <c r="B98" t="s">
        <v>33</v>
      </c>
      <c r="C98" t="s">
        <v>4510</v>
      </c>
      <c r="D98" t="s">
        <v>4614</v>
      </c>
    </row>
    <row r="99" spans="1:4">
      <c r="A99" t="s">
        <v>3661</v>
      </c>
      <c r="B99" t="s">
        <v>33</v>
      </c>
      <c r="C99" t="s">
        <v>4531</v>
      </c>
      <c r="D99" t="s">
        <v>4615</v>
      </c>
    </row>
    <row r="100" spans="1:4">
      <c r="A100" t="s">
        <v>3661</v>
      </c>
      <c r="B100" t="s">
        <v>33</v>
      </c>
      <c r="C100" t="s">
        <v>4531</v>
      </c>
      <c r="D100" t="s">
        <v>4616</v>
      </c>
    </row>
    <row r="101" spans="1:4">
      <c r="A101" t="s">
        <v>4617</v>
      </c>
      <c r="B101" t="s">
        <v>47</v>
      </c>
      <c r="C101" t="s">
        <v>4531</v>
      </c>
      <c r="D101" t="s">
        <v>4618</v>
      </c>
    </row>
    <row r="102" spans="1:4">
      <c r="A102" t="s">
        <v>4617</v>
      </c>
      <c r="B102" t="s">
        <v>47</v>
      </c>
      <c r="C102" t="s">
        <v>4531</v>
      </c>
      <c r="D102" t="s">
        <v>4619</v>
      </c>
    </row>
    <row r="103" spans="1:4">
      <c r="A103" t="s">
        <v>4617</v>
      </c>
      <c r="B103" t="s">
        <v>47</v>
      </c>
      <c r="C103" t="s">
        <v>4531</v>
      </c>
      <c r="D103" t="s">
        <v>4620</v>
      </c>
    </row>
    <row r="104" spans="1:4">
      <c r="A104" t="s">
        <v>3694</v>
      </c>
      <c r="B104" t="s">
        <v>65</v>
      </c>
      <c r="C104" t="s">
        <v>3379</v>
      </c>
      <c r="D104" t="s">
        <v>4621</v>
      </c>
    </row>
    <row r="105" spans="1:4">
      <c r="A105" t="s">
        <v>3694</v>
      </c>
      <c r="B105" t="s">
        <v>65</v>
      </c>
      <c r="C105" t="s">
        <v>3964</v>
      </c>
      <c r="D105" t="s">
        <v>4622</v>
      </c>
    </row>
    <row r="106" spans="1:4">
      <c r="A106" t="s">
        <v>4436</v>
      </c>
      <c r="B106" t="s">
        <v>39</v>
      </c>
      <c r="C106" t="s">
        <v>4510</v>
      </c>
      <c r="D106" t="s">
        <v>4623</v>
      </c>
    </row>
    <row r="107" spans="1:4">
      <c r="A107" t="s">
        <v>4436</v>
      </c>
      <c r="B107" t="s">
        <v>39</v>
      </c>
      <c r="C107" t="s">
        <v>4510</v>
      </c>
      <c r="D107" t="s">
        <v>4624</v>
      </c>
    </row>
    <row r="108" spans="1:4">
      <c r="A108" t="s">
        <v>4438</v>
      </c>
      <c r="B108" t="s">
        <v>157</v>
      </c>
      <c r="C108" t="s">
        <v>4625</v>
      </c>
      <c r="D108" t="s">
        <v>3673</v>
      </c>
    </row>
    <row r="109" spans="1:4">
      <c r="A109" t="s">
        <v>4626</v>
      </c>
      <c r="B109" t="s">
        <v>44</v>
      </c>
      <c r="C109" t="s">
        <v>4204</v>
      </c>
      <c r="D109" t="s">
        <v>4627</v>
      </c>
    </row>
    <row r="110" spans="1:4">
      <c r="A110" t="s">
        <v>4158</v>
      </c>
      <c r="B110" t="s">
        <v>47</v>
      </c>
      <c r="C110" t="s">
        <v>4531</v>
      </c>
      <c r="D110" t="s">
        <v>4628</v>
      </c>
    </row>
    <row r="111" spans="1:4">
      <c r="A111" t="s">
        <v>4158</v>
      </c>
      <c r="B111" t="s">
        <v>47</v>
      </c>
      <c r="C111" t="s">
        <v>4293</v>
      </c>
      <c r="D111" t="s">
        <v>4629</v>
      </c>
    </row>
    <row r="112" spans="1:4">
      <c r="A112" t="s">
        <v>4158</v>
      </c>
      <c r="B112" t="s">
        <v>47</v>
      </c>
      <c r="C112" t="s">
        <v>4223</v>
      </c>
      <c r="D112" t="s">
        <v>3881</v>
      </c>
    </row>
    <row r="113" spans="1:4">
      <c r="A113" t="s">
        <v>4158</v>
      </c>
      <c r="B113" t="s">
        <v>47</v>
      </c>
      <c r="C113" t="s">
        <v>4531</v>
      </c>
      <c r="D113" t="s">
        <v>4630</v>
      </c>
    </row>
    <row r="114" spans="1:4">
      <c r="A114" t="s">
        <v>4631</v>
      </c>
      <c r="B114" t="s">
        <v>39</v>
      </c>
      <c r="C114" t="s">
        <v>4632</v>
      </c>
      <c r="D114" t="s">
        <v>4633</v>
      </c>
    </row>
    <row r="115" spans="1:4">
      <c r="A115" t="s">
        <v>4631</v>
      </c>
      <c r="B115" t="s">
        <v>39</v>
      </c>
      <c r="C115" t="s">
        <v>4510</v>
      </c>
      <c r="D115" t="s">
        <v>4634</v>
      </c>
    </row>
    <row r="116" spans="1:4">
      <c r="A116" t="s">
        <v>4631</v>
      </c>
      <c r="B116" t="s">
        <v>39</v>
      </c>
      <c r="C116" t="s">
        <v>4510</v>
      </c>
      <c r="D116" t="s">
        <v>4635</v>
      </c>
    </row>
    <row r="117" spans="1:4">
      <c r="A117" t="s">
        <v>3717</v>
      </c>
      <c r="B117" t="s">
        <v>35</v>
      </c>
      <c r="C117" t="s">
        <v>3979</v>
      </c>
      <c r="D117" t="s">
        <v>4636</v>
      </c>
    </row>
    <row r="118" spans="1:4">
      <c r="A118" t="s">
        <v>3986</v>
      </c>
      <c r="B118" t="s">
        <v>39</v>
      </c>
      <c r="C118" t="s">
        <v>3932</v>
      </c>
      <c r="D118" t="s">
        <v>4637</v>
      </c>
    </row>
    <row r="119" spans="1:4">
      <c r="A119" t="s">
        <v>4638</v>
      </c>
      <c r="B119" t="s">
        <v>39</v>
      </c>
      <c r="C119" t="s">
        <v>4547</v>
      </c>
      <c r="D119" t="s">
        <v>4639</v>
      </c>
    </row>
    <row r="120" spans="1:4">
      <c r="A120" t="s">
        <v>4640</v>
      </c>
      <c r="B120" t="s">
        <v>41</v>
      </c>
      <c r="C120" t="s">
        <v>4263</v>
      </c>
      <c r="D120" t="s">
        <v>4641</v>
      </c>
    </row>
    <row r="121" spans="1:4">
      <c r="A121" t="s">
        <v>4304</v>
      </c>
      <c r="B121" t="s">
        <v>777</v>
      </c>
      <c r="C121" t="s">
        <v>4450</v>
      </c>
      <c r="D121" t="s">
        <v>4642</v>
      </c>
    </row>
    <row r="122" spans="1:4">
      <c r="A122" t="s">
        <v>4304</v>
      </c>
      <c r="B122" t="s">
        <v>777</v>
      </c>
      <c r="C122" t="s">
        <v>4540</v>
      </c>
      <c r="D122" t="s">
        <v>4643</v>
      </c>
    </row>
    <row r="123" spans="1:4">
      <c r="A123" t="s">
        <v>4304</v>
      </c>
      <c r="B123" t="s">
        <v>777</v>
      </c>
      <c r="C123" t="s">
        <v>4450</v>
      </c>
      <c r="D123" t="s">
        <v>4644</v>
      </c>
    </row>
    <row r="124" spans="1:4">
      <c r="A124" t="s">
        <v>4645</v>
      </c>
      <c r="B124" t="s">
        <v>35</v>
      </c>
      <c r="C124" t="s">
        <v>4466</v>
      </c>
      <c r="D124" t="s">
        <v>4646</v>
      </c>
    </row>
    <row r="125" spans="1:4">
      <c r="A125" t="s">
        <v>4647</v>
      </c>
      <c r="B125" t="s">
        <v>39</v>
      </c>
      <c r="C125" t="s">
        <v>4510</v>
      </c>
      <c r="D125" t="s">
        <v>4648</v>
      </c>
    </row>
    <row r="126" spans="1:4">
      <c r="A126" t="s">
        <v>4647</v>
      </c>
      <c r="B126" t="s">
        <v>39</v>
      </c>
      <c r="C126" t="s">
        <v>4510</v>
      </c>
      <c r="D126" t="s">
        <v>4649</v>
      </c>
    </row>
    <row r="127" spans="1:4">
      <c r="A127" t="s">
        <v>4647</v>
      </c>
      <c r="B127" t="s">
        <v>39</v>
      </c>
      <c r="C127" t="s">
        <v>4510</v>
      </c>
      <c r="D127" t="s">
        <v>4650</v>
      </c>
    </row>
    <row r="128" spans="1:4">
      <c r="A128" t="s">
        <v>4174</v>
      </c>
      <c r="B128" t="s">
        <v>47</v>
      </c>
      <c r="C128" t="s">
        <v>4466</v>
      </c>
      <c r="D128" t="s">
        <v>4651</v>
      </c>
    </row>
    <row r="129" spans="1:4">
      <c r="A129" t="s">
        <v>4174</v>
      </c>
      <c r="B129" t="s">
        <v>47</v>
      </c>
      <c r="C129" t="s">
        <v>4560</v>
      </c>
      <c r="D129" t="s">
        <v>4652</v>
      </c>
    </row>
    <row r="130" spans="1:4">
      <c r="A130" t="s">
        <v>4174</v>
      </c>
      <c r="B130" t="s">
        <v>47</v>
      </c>
      <c r="C130" t="s">
        <v>4653</v>
      </c>
      <c r="D130" t="s">
        <v>3481</v>
      </c>
    </row>
    <row r="131" spans="1:4">
      <c r="A131" t="s">
        <v>4174</v>
      </c>
      <c r="B131" t="s">
        <v>47</v>
      </c>
      <c r="C131" t="s">
        <v>4531</v>
      </c>
      <c r="D131" t="s">
        <v>4654</v>
      </c>
    </row>
    <row r="132" spans="1:4">
      <c r="A132" t="s">
        <v>4655</v>
      </c>
      <c r="B132" t="s">
        <v>39</v>
      </c>
      <c r="C132" t="s">
        <v>4254</v>
      </c>
      <c r="D132" t="s">
        <v>4656</v>
      </c>
    </row>
    <row r="133" spans="1:4">
      <c r="A133" t="s">
        <v>3996</v>
      </c>
      <c r="B133" t="s">
        <v>39</v>
      </c>
      <c r="C133" t="s">
        <v>3379</v>
      </c>
      <c r="D133" t="s">
        <v>4657</v>
      </c>
    </row>
    <row r="134" spans="1:4">
      <c r="A134" t="s">
        <v>3999</v>
      </c>
      <c r="B134" t="s">
        <v>44</v>
      </c>
      <c r="C134" t="s">
        <v>4001</v>
      </c>
      <c r="D134" t="s">
        <v>4658</v>
      </c>
    </row>
    <row r="135" spans="1:4">
      <c r="A135" t="s">
        <v>3759</v>
      </c>
      <c r="B135" t="s">
        <v>35</v>
      </c>
      <c r="C135" t="s">
        <v>4466</v>
      </c>
      <c r="D135" t="s">
        <v>4659</v>
      </c>
    </row>
    <row r="136" spans="1:4">
      <c r="A136" t="s">
        <v>4011</v>
      </c>
      <c r="B136" t="s">
        <v>47</v>
      </c>
      <c r="C136" t="s">
        <v>3823</v>
      </c>
      <c r="D136" t="s">
        <v>4660</v>
      </c>
    </row>
    <row r="137" spans="1:4">
      <c r="A137" t="s">
        <v>4661</v>
      </c>
      <c r="B137" t="s">
        <v>35</v>
      </c>
      <c r="C137" t="s">
        <v>4466</v>
      </c>
      <c r="D137" t="s">
        <v>4662</v>
      </c>
    </row>
    <row r="138" spans="1:4">
      <c r="A138" t="s">
        <v>4663</v>
      </c>
      <c r="B138" t="s">
        <v>33</v>
      </c>
      <c r="C138" t="s">
        <v>4263</v>
      </c>
      <c r="D138" t="s">
        <v>4664</v>
      </c>
    </row>
    <row r="139" spans="1:4">
      <c r="A139" t="s">
        <v>4663</v>
      </c>
      <c r="B139" t="s">
        <v>33</v>
      </c>
      <c r="C139" t="s">
        <v>4551</v>
      </c>
      <c r="D139" t="s">
        <v>4665</v>
      </c>
    </row>
    <row r="140" spans="1:4">
      <c r="A140" t="s">
        <v>4472</v>
      </c>
      <c r="B140" t="s">
        <v>41</v>
      </c>
      <c r="C140" t="s">
        <v>4024</v>
      </c>
      <c r="D140" t="s">
        <v>4666</v>
      </c>
    </row>
    <row r="141" spans="1:4">
      <c r="A141" t="s">
        <v>4194</v>
      </c>
      <c r="B141" t="s">
        <v>39</v>
      </c>
      <c r="C141" t="s">
        <v>4323</v>
      </c>
      <c r="D141" t="s">
        <v>4667</v>
      </c>
    </row>
    <row r="142" spans="1:4">
      <c r="A142" t="s">
        <v>4668</v>
      </c>
      <c r="B142" t="s">
        <v>39</v>
      </c>
      <c r="C142" t="s">
        <v>4502</v>
      </c>
      <c r="D142" t="s">
        <v>4669</v>
      </c>
    </row>
    <row r="143" spans="1:4">
      <c r="A143" t="s">
        <v>4668</v>
      </c>
      <c r="B143" t="s">
        <v>39</v>
      </c>
      <c r="C143" t="s">
        <v>4485</v>
      </c>
      <c r="D143" t="s">
        <v>4670</v>
      </c>
    </row>
    <row r="144" spans="1:4">
      <c r="A144" t="s">
        <v>4671</v>
      </c>
      <c r="B144" t="s">
        <v>35</v>
      </c>
      <c r="C144" t="s">
        <v>4485</v>
      </c>
      <c r="D144" t="s">
        <v>4672</v>
      </c>
    </row>
    <row r="145" spans="1:4">
      <c r="A145" t="s">
        <v>4673</v>
      </c>
      <c r="B145" t="s">
        <v>39</v>
      </c>
      <c r="C145" t="s">
        <v>4502</v>
      </c>
      <c r="D145" t="s">
        <v>4674</v>
      </c>
    </row>
    <row r="146" spans="1:4">
      <c r="A146" t="s">
        <v>4675</v>
      </c>
      <c r="B146" t="s">
        <v>157</v>
      </c>
      <c r="C146" t="s">
        <v>4547</v>
      </c>
      <c r="D146" t="s">
        <v>4676</v>
      </c>
    </row>
    <row r="147" spans="1:4">
      <c r="A147" t="s">
        <v>4677</v>
      </c>
      <c r="B147" t="s">
        <v>157</v>
      </c>
      <c r="C147" t="s">
        <v>4547</v>
      </c>
      <c r="D147" t="s">
        <v>4678</v>
      </c>
    </row>
    <row r="148" spans="1:4">
      <c r="A148" t="s">
        <v>4037</v>
      </c>
      <c r="B148" t="s">
        <v>35</v>
      </c>
      <c r="C148" t="s">
        <v>4293</v>
      </c>
      <c r="D148" t="s">
        <v>4679</v>
      </c>
    </row>
    <row r="149" spans="1:4">
      <c r="A149" t="s">
        <v>3786</v>
      </c>
      <c r="B149" t="s">
        <v>33</v>
      </c>
      <c r="C149" t="s">
        <v>4551</v>
      </c>
      <c r="D149" t="s">
        <v>3673</v>
      </c>
    </row>
    <row r="150" spans="1:4">
      <c r="A150" t="s">
        <v>3786</v>
      </c>
      <c r="B150" t="s">
        <v>33</v>
      </c>
      <c r="C150" t="s">
        <v>4485</v>
      </c>
      <c r="D150" t="s">
        <v>4680</v>
      </c>
    </row>
    <row r="151" spans="1:4">
      <c r="A151" t="s">
        <v>4681</v>
      </c>
      <c r="B151" t="s">
        <v>33</v>
      </c>
      <c r="C151" t="s">
        <v>4510</v>
      </c>
      <c r="D151" t="s">
        <v>4682</v>
      </c>
    </row>
    <row r="152" spans="1:4">
      <c r="A152" t="s">
        <v>4681</v>
      </c>
      <c r="B152" t="s">
        <v>33</v>
      </c>
      <c r="C152" t="s">
        <v>4510</v>
      </c>
      <c r="D152" t="s">
        <v>4683</v>
      </c>
    </row>
    <row r="153" spans="1:4">
      <c r="A153" t="s">
        <v>4681</v>
      </c>
      <c r="B153" t="s">
        <v>33</v>
      </c>
      <c r="C153" t="s">
        <v>4510</v>
      </c>
      <c r="D153" t="s">
        <v>4684</v>
      </c>
    </row>
    <row r="154" spans="1:4">
      <c r="A154" t="s">
        <v>4681</v>
      </c>
      <c r="B154" t="s">
        <v>33</v>
      </c>
      <c r="C154" t="s">
        <v>4510</v>
      </c>
      <c r="D154" t="s">
        <v>4685</v>
      </c>
    </row>
    <row r="155" spans="1:4">
      <c r="A155" t="s">
        <v>4686</v>
      </c>
      <c r="B155" t="s">
        <v>33</v>
      </c>
      <c r="C155" t="s">
        <v>4514</v>
      </c>
      <c r="D155" t="s">
        <v>4687</v>
      </c>
    </row>
  </sheetData>
  <pageMargins left="0.7" right="0.7" top="0.75" bottom="0.75" header="0.3" footer="0.3"/>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6FF9-CB36-462B-9A80-8E90D1ED2843}">
  <dimension ref="A1:D224"/>
  <sheetViews>
    <sheetView workbookViewId="0">
      <selection activeCell="F220" sqref="F220"/>
    </sheetView>
  </sheetViews>
  <sheetFormatPr defaultRowHeight="14.45"/>
  <cols>
    <col min="1" max="1" width="48.28515625" bestFit="1" customWidth="1"/>
    <col min="2" max="2" width="10.7109375" bestFit="1" customWidth="1"/>
    <col min="3" max="3" width="80.28515625" bestFit="1" customWidth="1"/>
    <col min="4" max="4" width="31.5703125" bestFit="1" customWidth="1"/>
  </cols>
  <sheetData>
    <row r="1" spans="1:4" ht="43.15">
      <c r="A1" t="s">
        <v>3355</v>
      </c>
      <c r="B1" t="s">
        <v>1</v>
      </c>
      <c r="C1" t="s">
        <v>3356</v>
      </c>
      <c r="D1" s="6" t="s">
        <v>4688</v>
      </c>
    </row>
    <row r="2" spans="1:4">
      <c r="A2" t="s">
        <v>3386</v>
      </c>
      <c r="B2" t="s">
        <v>35</v>
      </c>
      <c r="C2" t="s">
        <v>4689</v>
      </c>
      <c r="D2" t="s">
        <v>4690</v>
      </c>
    </row>
    <row r="3" spans="1:4">
      <c r="A3" t="s">
        <v>3386</v>
      </c>
      <c r="B3" t="s">
        <v>35</v>
      </c>
      <c r="C3" t="s">
        <v>4691</v>
      </c>
      <c r="D3" t="s">
        <v>4692</v>
      </c>
    </row>
    <row r="4" spans="1:4">
      <c r="A4" t="s">
        <v>3386</v>
      </c>
      <c r="B4" t="s">
        <v>35</v>
      </c>
      <c r="C4" t="s">
        <v>3880</v>
      </c>
      <c r="D4" t="s">
        <v>4693</v>
      </c>
    </row>
    <row r="5" spans="1:4">
      <c r="A5" t="s">
        <v>3386</v>
      </c>
      <c r="B5" t="s">
        <v>35</v>
      </c>
      <c r="C5" t="s">
        <v>4694</v>
      </c>
      <c r="D5" t="s">
        <v>4695</v>
      </c>
    </row>
    <row r="6" spans="1:4">
      <c r="A6" t="s">
        <v>3799</v>
      </c>
      <c r="B6" t="s">
        <v>47</v>
      </c>
      <c r="C6" t="s">
        <v>4696</v>
      </c>
      <c r="D6" t="s">
        <v>4697</v>
      </c>
    </row>
    <row r="7" spans="1:4">
      <c r="A7" t="s">
        <v>3799</v>
      </c>
      <c r="B7" t="s">
        <v>47</v>
      </c>
      <c r="C7" t="s">
        <v>4698</v>
      </c>
      <c r="D7" t="s">
        <v>4699</v>
      </c>
    </row>
    <row r="8" spans="1:4">
      <c r="A8" t="s">
        <v>4344</v>
      </c>
      <c r="B8" t="s">
        <v>39</v>
      </c>
      <c r="C8" t="s">
        <v>3379</v>
      </c>
      <c r="D8" t="s">
        <v>4700</v>
      </c>
    </row>
    <row r="9" spans="1:4">
      <c r="A9" t="s">
        <v>4344</v>
      </c>
      <c r="B9" t="s">
        <v>39</v>
      </c>
      <c r="C9" t="s">
        <v>3823</v>
      </c>
      <c r="D9" t="s">
        <v>4701</v>
      </c>
    </row>
    <row r="10" spans="1:4">
      <c r="A10" t="s">
        <v>4344</v>
      </c>
      <c r="B10" t="s">
        <v>39</v>
      </c>
      <c r="C10" t="s">
        <v>4702</v>
      </c>
      <c r="D10" t="s">
        <v>4703</v>
      </c>
    </row>
    <row r="11" spans="1:4">
      <c r="A11" t="s">
        <v>4393</v>
      </c>
      <c r="B11" t="s">
        <v>41</v>
      </c>
      <c r="C11" t="s">
        <v>3379</v>
      </c>
      <c r="D11" t="s">
        <v>4704</v>
      </c>
    </row>
    <row r="12" spans="1:4">
      <c r="A12" t="s">
        <v>4393</v>
      </c>
      <c r="B12" t="s">
        <v>41</v>
      </c>
      <c r="C12" t="s">
        <v>3823</v>
      </c>
      <c r="D12" t="s">
        <v>4705</v>
      </c>
    </row>
    <row r="13" spans="1:4">
      <c r="A13" t="s">
        <v>3414</v>
      </c>
      <c r="B13" t="s">
        <v>35</v>
      </c>
      <c r="C13" t="s">
        <v>4223</v>
      </c>
      <c r="D13" t="s">
        <v>4706</v>
      </c>
    </row>
    <row r="14" spans="1:4">
      <c r="A14" t="s">
        <v>3414</v>
      </c>
      <c r="B14" t="s">
        <v>35</v>
      </c>
      <c r="C14" t="s">
        <v>4707</v>
      </c>
      <c r="D14" t="s">
        <v>4708</v>
      </c>
    </row>
    <row r="15" spans="1:4">
      <c r="A15" t="s">
        <v>3414</v>
      </c>
      <c r="B15" t="s">
        <v>35</v>
      </c>
      <c r="C15" t="s">
        <v>4709</v>
      </c>
      <c r="D15" t="s">
        <v>4710</v>
      </c>
    </row>
    <row r="16" spans="1:4">
      <c r="A16" t="s">
        <v>3414</v>
      </c>
      <c r="B16" t="s">
        <v>35</v>
      </c>
      <c r="C16" t="s">
        <v>3880</v>
      </c>
      <c r="D16" t="s">
        <v>4711</v>
      </c>
    </row>
    <row r="17" spans="1:4">
      <c r="A17" t="s">
        <v>3414</v>
      </c>
      <c r="B17" t="s">
        <v>35</v>
      </c>
      <c r="C17" t="s">
        <v>3379</v>
      </c>
      <c r="D17" t="s">
        <v>4712</v>
      </c>
    </row>
    <row r="18" spans="1:4">
      <c r="A18" t="s">
        <v>3414</v>
      </c>
      <c r="B18" t="s">
        <v>35</v>
      </c>
      <c r="C18" t="s">
        <v>4696</v>
      </c>
      <c r="D18" t="s">
        <v>4713</v>
      </c>
    </row>
    <row r="19" spans="1:4">
      <c r="A19" t="s">
        <v>3414</v>
      </c>
      <c r="B19" t="s">
        <v>35</v>
      </c>
      <c r="C19" t="s">
        <v>3825</v>
      </c>
      <c r="D19" t="s">
        <v>4714</v>
      </c>
    </row>
    <row r="20" spans="1:4">
      <c r="A20" t="s">
        <v>3815</v>
      </c>
      <c r="B20" t="s">
        <v>44</v>
      </c>
      <c r="C20" t="s">
        <v>4204</v>
      </c>
      <c r="D20" t="s">
        <v>3817</v>
      </c>
    </row>
    <row r="21" spans="1:4">
      <c r="A21" t="s">
        <v>4062</v>
      </c>
      <c r="B21" t="s">
        <v>35</v>
      </c>
      <c r="C21" t="s">
        <v>4715</v>
      </c>
      <c r="D21" t="s">
        <v>4716</v>
      </c>
    </row>
    <row r="22" spans="1:4">
      <c r="A22" t="s">
        <v>4062</v>
      </c>
      <c r="B22" t="s">
        <v>35</v>
      </c>
      <c r="C22" t="s">
        <v>4333</v>
      </c>
      <c r="D22" t="s">
        <v>4717</v>
      </c>
    </row>
    <row r="23" spans="1:4">
      <c r="A23" t="s">
        <v>4718</v>
      </c>
      <c r="B23" t="s">
        <v>39</v>
      </c>
      <c r="C23" t="s">
        <v>3379</v>
      </c>
      <c r="D23" t="s">
        <v>4719</v>
      </c>
    </row>
    <row r="24" spans="1:4">
      <c r="A24" t="s">
        <v>4383</v>
      </c>
      <c r="B24" t="s">
        <v>47</v>
      </c>
      <c r="C24" t="s">
        <v>4720</v>
      </c>
      <c r="D24" t="s">
        <v>4721</v>
      </c>
    </row>
    <row r="25" spans="1:4">
      <c r="A25" t="s">
        <v>4722</v>
      </c>
      <c r="B25" t="s">
        <v>47</v>
      </c>
      <c r="C25" t="s">
        <v>4723</v>
      </c>
      <c r="D25" t="s">
        <v>4724</v>
      </c>
    </row>
    <row r="26" spans="1:4">
      <c r="A26" t="s">
        <v>4725</v>
      </c>
      <c r="B26" t="s">
        <v>35</v>
      </c>
      <c r="C26" t="s">
        <v>4527</v>
      </c>
      <c r="D26" t="s">
        <v>4726</v>
      </c>
    </row>
    <row r="27" spans="1:4">
      <c r="A27" t="s">
        <v>3443</v>
      </c>
      <c r="B27" t="s">
        <v>67</v>
      </c>
      <c r="C27" t="s">
        <v>4204</v>
      </c>
      <c r="D27" t="s">
        <v>4727</v>
      </c>
    </row>
    <row r="28" spans="1:4">
      <c r="A28" t="s">
        <v>4074</v>
      </c>
      <c r="B28" t="s">
        <v>47</v>
      </c>
      <c r="C28" t="s">
        <v>4707</v>
      </c>
      <c r="D28" t="s">
        <v>4728</v>
      </c>
    </row>
    <row r="29" spans="1:4">
      <c r="A29" t="s">
        <v>4074</v>
      </c>
      <c r="B29" t="s">
        <v>47</v>
      </c>
      <c r="C29" t="s">
        <v>4729</v>
      </c>
      <c r="D29" t="s">
        <v>4730</v>
      </c>
    </row>
    <row r="30" spans="1:4">
      <c r="A30" t="s">
        <v>4074</v>
      </c>
      <c r="B30" t="s">
        <v>47</v>
      </c>
      <c r="C30" t="s">
        <v>4696</v>
      </c>
      <c r="D30" t="s">
        <v>4731</v>
      </c>
    </row>
    <row r="31" spans="1:4">
      <c r="A31" t="s">
        <v>4074</v>
      </c>
      <c r="B31" t="s">
        <v>47</v>
      </c>
      <c r="C31" t="s">
        <v>3823</v>
      </c>
      <c r="D31" t="s">
        <v>4732</v>
      </c>
    </row>
    <row r="32" spans="1:4">
      <c r="A32" t="s">
        <v>4074</v>
      </c>
      <c r="B32" t="s">
        <v>47</v>
      </c>
      <c r="C32" t="s">
        <v>4733</v>
      </c>
      <c r="D32" t="s">
        <v>4431</v>
      </c>
    </row>
    <row r="33" spans="1:4">
      <c r="A33" t="s">
        <v>4734</v>
      </c>
      <c r="B33" t="s">
        <v>157</v>
      </c>
      <c r="C33" t="s">
        <v>3880</v>
      </c>
      <c r="D33" t="s">
        <v>4735</v>
      </c>
    </row>
    <row r="34" spans="1:4">
      <c r="A34" t="s">
        <v>3455</v>
      </c>
      <c r="B34" t="s">
        <v>35</v>
      </c>
      <c r="C34" t="s">
        <v>4369</v>
      </c>
      <c r="D34" t="s">
        <v>4736</v>
      </c>
    </row>
    <row r="35" spans="1:4">
      <c r="A35" t="s">
        <v>3455</v>
      </c>
      <c r="B35" t="s">
        <v>35</v>
      </c>
      <c r="C35" t="s">
        <v>4371</v>
      </c>
      <c r="D35" t="s">
        <v>4737</v>
      </c>
    </row>
    <row r="36" spans="1:4">
      <c r="A36" t="s">
        <v>3455</v>
      </c>
      <c r="B36" t="s">
        <v>35</v>
      </c>
      <c r="C36" t="s">
        <v>4373</v>
      </c>
      <c r="D36" t="s">
        <v>4737</v>
      </c>
    </row>
    <row r="37" spans="1:4">
      <c r="A37" t="s">
        <v>4738</v>
      </c>
      <c r="B37" t="s">
        <v>35</v>
      </c>
      <c r="C37" t="s">
        <v>4223</v>
      </c>
      <c r="D37" t="s">
        <v>4739</v>
      </c>
    </row>
    <row r="38" spans="1:4">
      <c r="A38" t="s">
        <v>4738</v>
      </c>
      <c r="B38" t="s">
        <v>35</v>
      </c>
      <c r="C38" t="s">
        <v>4740</v>
      </c>
      <c r="D38" t="s">
        <v>4741</v>
      </c>
    </row>
    <row r="39" spans="1:4">
      <c r="A39" t="s">
        <v>3854</v>
      </c>
      <c r="B39" t="s">
        <v>39</v>
      </c>
      <c r="C39" t="s">
        <v>4707</v>
      </c>
      <c r="D39" t="s">
        <v>4742</v>
      </c>
    </row>
    <row r="40" spans="1:4">
      <c r="A40" t="s">
        <v>4743</v>
      </c>
      <c r="B40" t="s">
        <v>47</v>
      </c>
      <c r="C40" t="s">
        <v>4744</v>
      </c>
      <c r="D40" t="s">
        <v>4745</v>
      </c>
    </row>
    <row r="41" spans="1:4">
      <c r="A41" t="s">
        <v>3856</v>
      </c>
      <c r="B41" t="s">
        <v>35</v>
      </c>
      <c r="C41" t="s">
        <v>4223</v>
      </c>
      <c r="D41" t="s">
        <v>3476</v>
      </c>
    </row>
    <row r="42" spans="1:4">
      <c r="A42" t="s">
        <v>4340</v>
      </c>
      <c r="B42" t="s">
        <v>61</v>
      </c>
      <c r="C42" t="s">
        <v>4087</v>
      </c>
      <c r="D42" t="s">
        <v>4746</v>
      </c>
    </row>
    <row r="43" spans="1:4">
      <c r="A43" t="s">
        <v>4340</v>
      </c>
      <c r="B43" t="s">
        <v>61</v>
      </c>
      <c r="C43" t="s">
        <v>4341</v>
      </c>
      <c r="D43" t="s">
        <v>4747</v>
      </c>
    </row>
    <row r="44" spans="1:4">
      <c r="A44" t="s">
        <v>4513</v>
      </c>
      <c r="B44" t="s">
        <v>47</v>
      </c>
      <c r="C44" t="s">
        <v>4458</v>
      </c>
      <c r="D44" t="s">
        <v>4748</v>
      </c>
    </row>
    <row r="45" spans="1:4">
      <c r="A45" t="s">
        <v>4749</v>
      </c>
      <c r="B45" t="s">
        <v>95</v>
      </c>
      <c r="C45" t="s">
        <v>4223</v>
      </c>
      <c r="D45" t="s">
        <v>4750</v>
      </c>
    </row>
    <row r="46" spans="1:4">
      <c r="A46" t="s">
        <v>3865</v>
      </c>
      <c r="B46" t="s">
        <v>35</v>
      </c>
      <c r="C46" t="s">
        <v>4707</v>
      </c>
      <c r="D46" t="s">
        <v>4751</v>
      </c>
    </row>
    <row r="47" spans="1:4">
      <c r="A47" t="s">
        <v>3865</v>
      </c>
      <c r="B47" t="s">
        <v>35</v>
      </c>
      <c r="C47" t="s">
        <v>4694</v>
      </c>
      <c r="D47" t="s">
        <v>4752</v>
      </c>
    </row>
    <row r="48" spans="1:4">
      <c r="A48" t="s">
        <v>3865</v>
      </c>
      <c r="B48" t="s">
        <v>35</v>
      </c>
      <c r="C48" t="s">
        <v>4753</v>
      </c>
      <c r="D48" t="s">
        <v>4754</v>
      </c>
    </row>
    <row r="49" spans="1:4">
      <c r="A49" t="s">
        <v>3865</v>
      </c>
      <c r="B49" t="s">
        <v>35</v>
      </c>
      <c r="C49" t="s">
        <v>4755</v>
      </c>
      <c r="D49" t="s">
        <v>4756</v>
      </c>
    </row>
    <row r="50" spans="1:4">
      <c r="A50" t="s">
        <v>3865</v>
      </c>
      <c r="B50" t="s">
        <v>35</v>
      </c>
      <c r="C50" t="s">
        <v>4757</v>
      </c>
      <c r="D50" t="s">
        <v>4758</v>
      </c>
    </row>
    <row r="51" spans="1:4">
      <c r="A51" t="s">
        <v>3865</v>
      </c>
      <c r="B51" t="s">
        <v>35</v>
      </c>
      <c r="C51" t="s">
        <v>4759</v>
      </c>
      <c r="D51" t="s">
        <v>4760</v>
      </c>
    </row>
    <row r="52" spans="1:4">
      <c r="A52" t="s">
        <v>3865</v>
      </c>
      <c r="B52" t="s">
        <v>35</v>
      </c>
      <c r="C52" t="s">
        <v>4761</v>
      </c>
      <c r="D52" t="s">
        <v>4762</v>
      </c>
    </row>
    <row r="53" spans="1:4">
      <c r="A53" t="s">
        <v>4763</v>
      </c>
      <c r="B53" t="s">
        <v>35</v>
      </c>
      <c r="C53" t="s">
        <v>4761</v>
      </c>
      <c r="D53" t="s">
        <v>4764</v>
      </c>
    </row>
    <row r="54" spans="1:4">
      <c r="A54" t="s">
        <v>3868</v>
      </c>
      <c r="B54" t="s">
        <v>35</v>
      </c>
      <c r="C54" t="s">
        <v>4765</v>
      </c>
      <c r="D54" t="s">
        <v>4766</v>
      </c>
    </row>
    <row r="55" spans="1:4">
      <c r="A55" t="s">
        <v>3868</v>
      </c>
      <c r="B55" t="s">
        <v>35</v>
      </c>
      <c r="C55" t="s">
        <v>4093</v>
      </c>
      <c r="D55" t="s">
        <v>4767</v>
      </c>
    </row>
    <row r="56" spans="1:4">
      <c r="A56" t="s">
        <v>3868</v>
      </c>
      <c r="B56" t="s">
        <v>35</v>
      </c>
      <c r="C56" t="s">
        <v>4235</v>
      </c>
      <c r="D56" t="s">
        <v>4768</v>
      </c>
    </row>
    <row r="57" spans="1:4">
      <c r="A57" t="s">
        <v>4518</v>
      </c>
      <c r="B57" t="s">
        <v>35</v>
      </c>
      <c r="C57" t="s">
        <v>4761</v>
      </c>
      <c r="D57" t="s">
        <v>4769</v>
      </c>
    </row>
    <row r="58" spans="1:4">
      <c r="A58" t="s">
        <v>4770</v>
      </c>
      <c r="B58" t="s">
        <v>47</v>
      </c>
      <c r="C58" t="s">
        <v>4761</v>
      </c>
      <c r="D58" t="s">
        <v>4564</v>
      </c>
    </row>
    <row r="59" spans="1:4">
      <c r="A59" t="s">
        <v>4097</v>
      </c>
      <c r="B59" t="s">
        <v>95</v>
      </c>
      <c r="C59" t="s">
        <v>4223</v>
      </c>
      <c r="D59" t="s">
        <v>4771</v>
      </c>
    </row>
    <row r="60" spans="1:4">
      <c r="A60" t="s">
        <v>4216</v>
      </c>
      <c r="B60" t="s">
        <v>44</v>
      </c>
      <c r="C60" t="s">
        <v>4772</v>
      </c>
      <c r="D60" t="s">
        <v>4773</v>
      </c>
    </row>
    <row r="61" spans="1:4">
      <c r="A61" t="s">
        <v>4774</v>
      </c>
      <c r="B61" t="s">
        <v>39</v>
      </c>
      <c r="C61" t="s">
        <v>4775</v>
      </c>
      <c r="D61" t="s">
        <v>4776</v>
      </c>
    </row>
    <row r="62" spans="1:4">
      <c r="A62" t="s">
        <v>4520</v>
      </c>
      <c r="B62" t="s">
        <v>35</v>
      </c>
      <c r="C62" t="s">
        <v>4707</v>
      </c>
      <c r="D62" t="s">
        <v>4777</v>
      </c>
    </row>
    <row r="63" spans="1:4">
      <c r="A63" t="s">
        <v>4520</v>
      </c>
      <c r="B63" t="s">
        <v>35</v>
      </c>
      <c r="C63" t="s">
        <v>4709</v>
      </c>
      <c r="D63" t="s">
        <v>4778</v>
      </c>
    </row>
    <row r="64" spans="1:4">
      <c r="A64" t="s">
        <v>4520</v>
      </c>
      <c r="B64" t="s">
        <v>35</v>
      </c>
      <c r="C64" t="s">
        <v>3880</v>
      </c>
      <c r="D64" t="s">
        <v>4779</v>
      </c>
    </row>
    <row r="65" spans="1:4">
      <c r="A65" t="s">
        <v>4520</v>
      </c>
      <c r="B65" t="s">
        <v>35</v>
      </c>
      <c r="C65" t="s">
        <v>4527</v>
      </c>
      <c r="D65" t="s">
        <v>4780</v>
      </c>
    </row>
    <row r="66" spans="1:4">
      <c r="A66" t="s">
        <v>4520</v>
      </c>
      <c r="B66" t="s">
        <v>35</v>
      </c>
      <c r="C66" t="s">
        <v>4696</v>
      </c>
      <c r="D66" t="s">
        <v>4781</v>
      </c>
    </row>
    <row r="67" spans="1:4">
      <c r="A67" t="s">
        <v>4520</v>
      </c>
      <c r="B67" t="s">
        <v>35</v>
      </c>
      <c r="C67" t="s">
        <v>4698</v>
      </c>
      <c r="D67" t="s">
        <v>4782</v>
      </c>
    </row>
    <row r="68" spans="1:4">
      <c r="A68" t="s">
        <v>4783</v>
      </c>
      <c r="B68" t="s">
        <v>75</v>
      </c>
      <c r="C68" t="s">
        <v>4707</v>
      </c>
      <c r="D68" t="s">
        <v>4784</v>
      </c>
    </row>
    <row r="69" spans="1:4">
      <c r="A69" t="s">
        <v>4783</v>
      </c>
      <c r="B69" t="s">
        <v>75</v>
      </c>
      <c r="C69" t="s">
        <v>4709</v>
      </c>
      <c r="D69" t="s">
        <v>4785</v>
      </c>
    </row>
    <row r="70" spans="1:4">
      <c r="A70" t="s">
        <v>4783</v>
      </c>
      <c r="B70" t="s">
        <v>75</v>
      </c>
      <c r="C70" t="s">
        <v>4527</v>
      </c>
      <c r="D70" t="s">
        <v>4786</v>
      </c>
    </row>
    <row r="71" spans="1:4">
      <c r="A71" t="s">
        <v>4787</v>
      </c>
      <c r="B71" t="s">
        <v>44</v>
      </c>
      <c r="C71" t="s">
        <v>4788</v>
      </c>
      <c r="D71" t="s">
        <v>4789</v>
      </c>
    </row>
    <row r="72" spans="1:4">
      <c r="A72" t="s">
        <v>4787</v>
      </c>
      <c r="B72" t="s">
        <v>44</v>
      </c>
      <c r="C72" t="s">
        <v>4694</v>
      </c>
      <c r="D72" t="s">
        <v>4790</v>
      </c>
    </row>
    <row r="73" spans="1:4">
      <c r="A73" t="s">
        <v>4787</v>
      </c>
      <c r="B73" t="s">
        <v>44</v>
      </c>
      <c r="C73" t="s">
        <v>4720</v>
      </c>
      <c r="D73" t="s">
        <v>4791</v>
      </c>
    </row>
    <row r="74" spans="1:4">
      <c r="A74" t="s">
        <v>4106</v>
      </c>
      <c r="B74" t="s">
        <v>44</v>
      </c>
      <c r="C74" t="s">
        <v>3880</v>
      </c>
      <c r="D74" t="s">
        <v>4792</v>
      </c>
    </row>
    <row r="75" spans="1:4">
      <c r="A75" t="s">
        <v>4106</v>
      </c>
      <c r="B75" t="s">
        <v>44</v>
      </c>
      <c r="C75" t="s">
        <v>4793</v>
      </c>
      <c r="D75" t="s">
        <v>4530</v>
      </c>
    </row>
    <row r="76" spans="1:4">
      <c r="A76" t="s">
        <v>4106</v>
      </c>
      <c r="B76" t="s">
        <v>44</v>
      </c>
      <c r="C76" t="s">
        <v>4698</v>
      </c>
      <c r="D76" t="s">
        <v>4794</v>
      </c>
    </row>
    <row r="77" spans="1:4">
      <c r="A77" t="s">
        <v>3533</v>
      </c>
      <c r="B77" t="s">
        <v>39</v>
      </c>
      <c r="C77" t="s">
        <v>4333</v>
      </c>
      <c r="D77" t="s">
        <v>4795</v>
      </c>
    </row>
    <row r="78" spans="1:4">
      <c r="A78" t="s">
        <v>3533</v>
      </c>
      <c r="B78" t="s">
        <v>39</v>
      </c>
      <c r="C78" t="s">
        <v>4691</v>
      </c>
      <c r="D78" t="s">
        <v>4796</v>
      </c>
    </row>
    <row r="79" spans="1:4">
      <c r="A79" t="s">
        <v>3533</v>
      </c>
      <c r="B79" t="s">
        <v>39</v>
      </c>
      <c r="C79" t="s">
        <v>4502</v>
      </c>
      <c r="D79" t="s">
        <v>4797</v>
      </c>
    </row>
    <row r="80" spans="1:4">
      <c r="A80" t="s">
        <v>3533</v>
      </c>
      <c r="B80" t="s">
        <v>39</v>
      </c>
      <c r="C80" t="s">
        <v>3880</v>
      </c>
      <c r="D80" t="s">
        <v>4798</v>
      </c>
    </row>
    <row r="81" spans="1:4">
      <c r="A81" t="s">
        <v>3533</v>
      </c>
      <c r="B81" t="s">
        <v>39</v>
      </c>
      <c r="C81" t="s">
        <v>4799</v>
      </c>
      <c r="D81" t="s">
        <v>4800</v>
      </c>
    </row>
    <row r="82" spans="1:4">
      <c r="A82" t="s">
        <v>3533</v>
      </c>
      <c r="B82" t="s">
        <v>39</v>
      </c>
      <c r="C82" t="s">
        <v>4801</v>
      </c>
      <c r="D82" t="s">
        <v>4802</v>
      </c>
    </row>
    <row r="83" spans="1:4">
      <c r="A83" t="s">
        <v>3533</v>
      </c>
      <c r="B83" t="s">
        <v>39</v>
      </c>
      <c r="C83" t="s">
        <v>4263</v>
      </c>
      <c r="D83" t="s">
        <v>4803</v>
      </c>
    </row>
    <row r="84" spans="1:4">
      <c r="A84" t="s">
        <v>3533</v>
      </c>
      <c r="B84" t="s">
        <v>39</v>
      </c>
      <c r="C84" t="s">
        <v>4804</v>
      </c>
      <c r="D84" t="s">
        <v>4805</v>
      </c>
    </row>
    <row r="85" spans="1:4">
      <c r="A85" t="s">
        <v>4806</v>
      </c>
      <c r="B85" t="s">
        <v>33</v>
      </c>
      <c r="C85" t="s">
        <v>4807</v>
      </c>
      <c r="D85" t="s">
        <v>4808</v>
      </c>
    </row>
    <row r="86" spans="1:4">
      <c r="A86" t="s">
        <v>3890</v>
      </c>
      <c r="B86" t="s">
        <v>47</v>
      </c>
      <c r="C86" t="s">
        <v>4809</v>
      </c>
      <c r="D86" t="s">
        <v>4810</v>
      </c>
    </row>
    <row r="87" spans="1:4">
      <c r="A87" t="s">
        <v>3893</v>
      </c>
      <c r="B87" t="s">
        <v>41</v>
      </c>
      <c r="C87" t="s">
        <v>4723</v>
      </c>
      <c r="D87" t="s">
        <v>4811</v>
      </c>
    </row>
    <row r="88" spans="1:4">
      <c r="A88" t="s">
        <v>3896</v>
      </c>
      <c r="B88" t="s">
        <v>65</v>
      </c>
      <c r="C88" t="s">
        <v>4458</v>
      </c>
      <c r="D88" t="s">
        <v>4812</v>
      </c>
    </row>
    <row r="89" spans="1:4">
      <c r="A89" t="s">
        <v>4813</v>
      </c>
      <c r="B89" t="s">
        <v>95</v>
      </c>
      <c r="C89" t="s">
        <v>4723</v>
      </c>
      <c r="D89" t="s">
        <v>4814</v>
      </c>
    </row>
    <row r="90" spans="1:4">
      <c r="A90" t="s">
        <v>4244</v>
      </c>
      <c r="B90" t="s">
        <v>47</v>
      </c>
      <c r="C90" t="s">
        <v>4723</v>
      </c>
      <c r="D90" t="s">
        <v>4815</v>
      </c>
    </row>
    <row r="91" spans="1:4">
      <c r="A91" t="s">
        <v>4244</v>
      </c>
      <c r="B91" t="s">
        <v>47</v>
      </c>
      <c r="C91" t="s">
        <v>4707</v>
      </c>
      <c r="D91" t="s">
        <v>4816</v>
      </c>
    </row>
    <row r="92" spans="1:4">
      <c r="A92" t="s">
        <v>4244</v>
      </c>
      <c r="B92" t="s">
        <v>47</v>
      </c>
      <c r="C92" t="s">
        <v>4391</v>
      </c>
      <c r="D92" t="s">
        <v>4817</v>
      </c>
    </row>
    <row r="93" spans="1:4">
      <c r="A93" t="s">
        <v>4244</v>
      </c>
      <c r="B93" t="s">
        <v>47</v>
      </c>
      <c r="C93" t="s">
        <v>4694</v>
      </c>
      <c r="D93" t="s">
        <v>4818</v>
      </c>
    </row>
    <row r="94" spans="1:4">
      <c r="A94" t="s">
        <v>4244</v>
      </c>
      <c r="B94" t="s">
        <v>47</v>
      </c>
      <c r="C94" t="s">
        <v>4819</v>
      </c>
      <c r="D94" t="s">
        <v>4820</v>
      </c>
    </row>
    <row r="95" spans="1:4">
      <c r="A95" t="s">
        <v>4550</v>
      </c>
      <c r="B95" t="s">
        <v>39</v>
      </c>
      <c r="C95" t="s">
        <v>4551</v>
      </c>
      <c r="D95" t="s">
        <v>4821</v>
      </c>
    </row>
    <row r="96" spans="1:4">
      <c r="A96" t="s">
        <v>4381</v>
      </c>
      <c r="B96" t="s">
        <v>35</v>
      </c>
      <c r="C96" t="s">
        <v>4223</v>
      </c>
      <c r="D96" t="s">
        <v>4822</v>
      </c>
    </row>
    <row r="97" spans="1:4">
      <c r="A97" t="s">
        <v>4381</v>
      </c>
      <c r="B97" t="s">
        <v>35</v>
      </c>
      <c r="C97" t="s">
        <v>4382</v>
      </c>
      <c r="D97" t="s">
        <v>4823</v>
      </c>
    </row>
    <row r="98" spans="1:4">
      <c r="A98" t="s">
        <v>4824</v>
      </c>
      <c r="B98" t="s">
        <v>44</v>
      </c>
      <c r="C98" t="s">
        <v>4333</v>
      </c>
      <c r="D98" t="s">
        <v>4825</v>
      </c>
    </row>
    <row r="99" spans="1:4">
      <c r="A99" t="s">
        <v>3581</v>
      </c>
      <c r="B99" t="s">
        <v>44</v>
      </c>
      <c r="C99" t="s">
        <v>4826</v>
      </c>
      <c r="D99" t="s">
        <v>4827</v>
      </c>
    </row>
    <row r="100" spans="1:4">
      <c r="A100" t="s">
        <v>3581</v>
      </c>
      <c r="B100" t="s">
        <v>44</v>
      </c>
      <c r="C100" t="s">
        <v>4696</v>
      </c>
      <c r="D100" t="s">
        <v>4828</v>
      </c>
    </row>
    <row r="101" spans="1:4">
      <c r="A101" t="s">
        <v>3581</v>
      </c>
      <c r="B101" t="s">
        <v>44</v>
      </c>
      <c r="C101" t="s">
        <v>4124</v>
      </c>
      <c r="D101" t="s">
        <v>4829</v>
      </c>
    </row>
    <row r="102" spans="1:4">
      <c r="A102" t="s">
        <v>3581</v>
      </c>
      <c r="B102" t="s">
        <v>44</v>
      </c>
      <c r="C102" t="s">
        <v>4720</v>
      </c>
      <c r="D102" t="s">
        <v>4830</v>
      </c>
    </row>
    <row r="103" spans="1:4">
      <c r="A103" t="s">
        <v>4562</v>
      </c>
      <c r="B103" t="s">
        <v>39</v>
      </c>
      <c r="C103" t="s">
        <v>4831</v>
      </c>
      <c r="D103" t="s">
        <v>4832</v>
      </c>
    </row>
    <row r="104" spans="1:4">
      <c r="A104" t="s">
        <v>3603</v>
      </c>
      <c r="B104" t="s">
        <v>39</v>
      </c>
      <c r="C104" t="s">
        <v>4833</v>
      </c>
      <c r="D104" t="s">
        <v>4834</v>
      </c>
    </row>
    <row r="105" spans="1:4">
      <c r="A105" t="s">
        <v>4835</v>
      </c>
      <c r="B105" t="s">
        <v>331</v>
      </c>
      <c r="C105" t="s">
        <v>4836</v>
      </c>
      <c r="D105" t="s">
        <v>4837</v>
      </c>
    </row>
    <row r="106" spans="1:4">
      <c r="A106" t="s">
        <v>4838</v>
      </c>
      <c r="B106" t="s">
        <v>95</v>
      </c>
      <c r="C106" t="s">
        <v>4836</v>
      </c>
      <c r="D106" t="s">
        <v>4839</v>
      </c>
    </row>
    <row r="107" spans="1:4">
      <c r="A107" t="s">
        <v>4840</v>
      </c>
      <c r="B107" t="s">
        <v>44</v>
      </c>
      <c r="C107" t="s">
        <v>4841</v>
      </c>
      <c r="D107" t="s">
        <v>4622</v>
      </c>
    </row>
    <row r="108" spans="1:4">
      <c r="A108" t="s">
        <v>3609</v>
      </c>
      <c r="B108" t="s">
        <v>44</v>
      </c>
      <c r="C108" t="s">
        <v>4351</v>
      </c>
      <c r="D108" t="s">
        <v>4842</v>
      </c>
    </row>
    <row r="109" spans="1:4">
      <c r="A109" t="s">
        <v>4843</v>
      </c>
      <c r="B109" t="s">
        <v>35</v>
      </c>
      <c r="C109" t="s">
        <v>3880</v>
      </c>
      <c r="D109" t="s">
        <v>4844</v>
      </c>
    </row>
    <row r="110" spans="1:4">
      <c r="A110" t="s">
        <v>4845</v>
      </c>
      <c r="B110" t="s">
        <v>80</v>
      </c>
      <c r="C110" t="s">
        <v>4846</v>
      </c>
      <c r="D110" t="s">
        <v>4847</v>
      </c>
    </row>
    <row r="111" spans="1:4">
      <c r="A111" t="s">
        <v>4848</v>
      </c>
      <c r="B111" t="s">
        <v>47</v>
      </c>
      <c r="C111" t="s">
        <v>4458</v>
      </c>
      <c r="D111" t="s">
        <v>4849</v>
      </c>
    </row>
    <row r="112" spans="1:4">
      <c r="A112" t="s">
        <v>3906</v>
      </c>
      <c r="B112" t="s">
        <v>39</v>
      </c>
      <c r="C112" t="s">
        <v>4204</v>
      </c>
      <c r="D112" t="s">
        <v>4850</v>
      </c>
    </row>
    <row r="113" spans="1:4">
      <c r="A113" t="s">
        <v>4135</v>
      </c>
      <c r="B113" t="s">
        <v>157</v>
      </c>
      <c r="C113" t="s">
        <v>4846</v>
      </c>
      <c r="D113" t="s">
        <v>4851</v>
      </c>
    </row>
    <row r="114" spans="1:4">
      <c r="A114" t="s">
        <v>4262</v>
      </c>
      <c r="B114" t="s">
        <v>41</v>
      </c>
      <c r="C114" t="s">
        <v>4852</v>
      </c>
      <c r="D114" t="s">
        <v>4853</v>
      </c>
    </row>
    <row r="115" spans="1:4">
      <c r="A115" t="s">
        <v>4262</v>
      </c>
      <c r="B115" t="s">
        <v>41</v>
      </c>
      <c r="C115" t="s">
        <v>4263</v>
      </c>
      <c r="D115" t="s">
        <v>4854</v>
      </c>
    </row>
    <row r="116" spans="1:4">
      <c r="A116" t="s">
        <v>3626</v>
      </c>
      <c r="B116" t="s">
        <v>158</v>
      </c>
      <c r="C116" t="s">
        <v>4855</v>
      </c>
      <c r="D116" t="s">
        <v>4856</v>
      </c>
    </row>
    <row r="117" spans="1:4">
      <c r="A117" t="s">
        <v>3918</v>
      </c>
      <c r="B117" t="s">
        <v>47</v>
      </c>
      <c r="C117" t="s">
        <v>4204</v>
      </c>
      <c r="D117" t="s">
        <v>4857</v>
      </c>
    </row>
    <row r="118" spans="1:4">
      <c r="A118" t="s">
        <v>3918</v>
      </c>
      <c r="B118" t="s">
        <v>47</v>
      </c>
      <c r="C118" t="s">
        <v>4702</v>
      </c>
      <c r="D118" t="s">
        <v>4858</v>
      </c>
    </row>
    <row r="119" spans="1:4">
      <c r="A119" t="s">
        <v>3925</v>
      </c>
      <c r="B119" t="s">
        <v>39</v>
      </c>
      <c r="C119" t="s">
        <v>4859</v>
      </c>
      <c r="D119" t="s">
        <v>4860</v>
      </c>
    </row>
    <row r="120" spans="1:4">
      <c r="A120" t="s">
        <v>4271</v>
      </c>
      <c r="B120" t="s">
        <v>65</v>
      </c>
      <c r="C120" t="s">
        <v>4272</v>
      </c>
      <c r="D120" t="s">
        <v>4861</v>
      </c>
    </row>
    <row r="121" spans="1:4">
      <c r="A121" t="s">
        <v>4862</v>
      </c>
      <c r="B121" t="s">
        <v>157</v>
      </c>
      <c r="C121" t="s">
        <v>4351</v>
      </c>
      <c r="D121" t="s">
        <v>4863</v>
      </c>
    </row>
    <row r="122" spans="1:4">
      <c r="A122" t="s">
        <v>4864</v>
      </c>
      <c r="B122" t="s">
        <v>61</v>
      </c>
      <c r="C122" t="s">
        <v>4865</v>
      </c>
      <c r="D122" t="s">
        <v>4866</v>
      </c>
    </row>
    <row r="123" spans="1:4">
      <c r="A123" t="s">
        <v>4150</v>
      </c>
      <c r="B123" t="s">
        <v>33</v>
      </c>
      <c r="C123" t="s">
        <v>4867</v>
      </c>
      <c r="D123" t="s">
        <v>4868</v>
      </c>
    </row>
    <row r="124" spans="1:4">
      <c r="A124" t="s">
        <v>4869</v>
      </c>
      <c r="B124" t="s">
        <v>158</v>
      </c>
      <c r="C124" t="s">
        <v>4263</v>
      </c>
      <c r="D124" t="s">
        <v>4870</v>
      </c>
    </row>
    <row r="125" spans="1:4">
      <c r="A125" t="s">
        <v>4871</v>
      </c>
      <c r="B125" t="s">
        <v>158</v>
      </c>
      <c r="C125" t="s">
        <v>4872</v>
      </c>
      <c r="D125" t="s">
        <v>4873</v>
      </c>
    </row>
    <row r="126" spans="1:4">
      <c r="A126" t="s">
        <v>4874</v>
      </c>
      <c r="B126" t="s">
        <v>158</v>
      </c>
      <c r="C126" t="s">
        <v>4761</v>
      </c>
      <c r="D126" t="s">
        <v>4622</v>
      </c>
    </row>
    <row r="127" spans="1:4">
      <c r="A127" t="s">
        <v>3937</v>
      </c>
      <c r="B127" t="s">
        <v>35</v>
      </c>
      <c r="C127" t="s">
        <v>4527</v>
      </c>
      <c r="D127" t="s">
        <v>4875</v>
      </c>
    </row>
    <row r="128" spans="1:4">
      <c r="A128" t="s">
        <v>3937</v>
      </c>
      <c r="B128" t="s">
        <v>35</v>
      </c>
      <c r="C128" t="s">
        <v>4761</v>
      </c>
      <c r="D128" t="s">
        <v>4876</v>
      </c>
    </row>
    <row r="129" spans="1:4">
      <c r="A129" t="s">
        <v>4877</v>
      </c>
      <c r="B129" t="s">
        <v>35</v>
      </c>
      <c r="C129" t="s">
        <v>4761</v>
      </c>
      <c r="D129" t="s">
        <v>3803</v>
      </c>
    </row>
    <row r="130" spans="1:4">
      <c r="A130" t="s">
        <v>4878</v>
      </c>
      <c r="B130" t="s">
        <v>35</v>
      </c>
      <c r="C130" t="s">
        <v>3880</v>
      </c>
      <c r="D130" t="s">
        <v>4879</v>
      </c>
    </row>
    <row r="131" spans="1:4">
      <c r="A131" t="s">
        <v>4880</v>
      </c>
      <c r="B131" t="s">
        <v>39</v>
      </c>
      <c r="C131" t="s">
        <v>4881</v>
      </c>
      <c r="D131" t="s">
        <v>4882</v>
      </c>
    </row>
    <row r="132" spans="1:4">
      <c r="A132" t="s">
        <v>4883</v>
      </c>
      <c r="B132" t="s">
        <v>35</v>
      </c>
      <c r="C132" t="s">
        <v>4223</v>
      </c>
      <c r="D132" t="s">
        <v>4884</v>
      </c>
    </row>
    <row r="133" spans="1:4">
      <c r="A133" t="s">
        <v>3655</v>
      </c>
      <c r="B133" t="s">
        <v>47</v>
      </c>
      <c r="C133" t="s">
        <v>4885</v>
      </c>
      <c r="D133" t="s">
        <v>4873</v>
      </c>
    </row>
    <row r="134" spans="1:4">
      <c r="A134" t="s">
        <v>3945</v>
      </c>
      <c r="B134" t="s">
        <v>41</v>
      </c>
      <c r="C134" t="s">
        <v>4610</v>
      </c>
      <c r="D134" t="s">
        <v>4886</v>
      </c>
    </row>
    <row r="135" spans="1:4">
      <c r="A135" t="s">
        <v>3661</v>
      </c>
      <c r="B135" t="s">
        <v>33</v>
      </c>
      <c r="C135" t="s">
        <v>4531</v>
      </c>
      <c r="D135" t="s">
        <v>4887</v>
      </c>
    </row>
    <row r="136" spans="1:4">
      <c r="A136" t="s">
        <v>4617</v>
      </c>
      <c r="B136" t="s">
        <v>47</v>
      </c>
      <c r="C136" t="s">
        <v>4531</v>
      </c>
      <c r="D136" t="s">
        <v>4888</v>
      </c>
    </row>
    <row r="137" spans="1:4">
      <c r="A137" t="s">
        <v>4617</v>
      </c>
      <c r="B137" t="s">
        <v>47</v>
      </c>
      <c r="C137" t="s">
        <v>4531</v>
      </c>
      <c r="D137" t="s">
        <v>4889</v>
      </c>
    </row>
    <row r="138" spans="1:4">
      <c r="A138" t="s">
        <v>4617</v>
      </c>
      <c r="B138" t="s">
        <v>47</v>
      </c>
      <c r="C138" t="s">
        <v>4720</v>
      </c>
      <c r="D138" t="s">
        <v>4890</v>
      </c>
    </row>
    <row r="139" spans="1:4">
      <c r="A139" t="s">
        <v>3694</v>
      </c>
      <c r="B139" t="s">
        <v>65</v>
      </c>
      <c r="C139" t="s">
        <v>4204</v>
      </c>
      <c r="D139" t="s">
        <v>4891</v>
      </c>
    </row>
    <row r="140" spans="1:4">
      <c r="A140" t="s">
        <v>3694</v>
      </c>
      <c r="B140" t="s">
        <v>65</v>
      </c>
      <c r="C140" t="s">
        <v>4702</v>
      </c>
      <c r="D140" t="s">
        <v>4892</v>
      </c>
    </row>
    <row r="141" spans="1:4">
      <c r="A141" t="s">
        <v>4893</v>
      </c>
      <c r="B141" t="s">
        <v>35</v>
      </c>
      <c r="C141" t="s">
        <v>4761</v>
      </c>
      <c r="D141" t="s">
        <v>3960</v>
      </c>
    </row>
    <row r="142" spans="1:4">
      <c r="A142" t="s">
        <v>4433</v>
      </c>
      <c r="B142" t="s">
        <v>41</v>
      </c>
      <c r="C142" t="s">
        <v>4723</v>
      </c>
      <c r="D142" t="s">
        <v>4894</v>
      </c>
    </row>
    <row r="143" spans="1:4">
      <c r="A143" t="s">
        <v>4433</v>
      </c>
      <c r="B143" t="s">
        <v>41</v>
      </c>
      <c r="C143" t="s">
        <v>4263</v>
      </c>
      <c r="D143" t="s">
        <v>4895</v>
      </c>
    </row>
    <row r="144" spans="1:4">
      <c r="A144" t="s">
        <v>4626</v>
      </c>
      <c r="B144" t="s">
        <v>44</v>
      </c>
      <c r="C144" t="s">
        <v>3823</v>
      </c>
      <c r="D144" t="s">
        <v>4896</v>
      </c>
    </row>
    <row r="145" spans="1:4">
      <c r="A145" t="s">
        <v>4158</v>
      </c>
      <c r="B145" t="s">
        <v>47</v>
      </c>
      <c r="C145" t="s">
        <v>4223</v>
      </c>
      <c r="D145" t="s">
        <v>4897</v>
      </c>
    </row>
    <row r="146" spans="1:4">
      <c r="A146" t="s">
        <v>4158</v>
      </c>
      <c r="B146" t="s">
        <v>47</v>
      </c>
      <c r="C146" t="s">
        <v>4707</v>
      </c>
      <c r="D146" t="s">
        <v>4898</v>
      </c>
    </row>
    <row r="147" spans="1:4">
      <c r="A147" t="s">
        <v>4158</v>
      </c>
      <c r="B147" t="s">
        <v>47</v>
      </c>
      <c r="C147" t="s">
        <v>4899</v>
      </c>
      <c r="D147" t="s">
        <v>4900</v>
      </c>
    </row>
    <row r="148" spans="1:4">
      <c r="A148" t="s">
        <v>4158</v>
      </c>
      <c r="B148" t="s">
        <v>47</v>
      </c>
      <c r="C148" t="s">
        <v>4531</v>
      </c>
      <c r="D148" t="s">
        <v>4901</v>
      </c>
    </row>
    <row r="149" spans="1:4">
      <c r="A149" t="s">
        <v>4158</v>
      </c>
      <c r="B149" t="s">
        <v>47</v>
      </c>
      <c r="C149" t="s">
        <v>4744</v>
      </c>
      <c r="D149" t="s">
        <v>4902</v>
      </c>
    </row>
    <row r="150" spans="1:4">
      <c r="A150" t="s">
        <v>4158</v>
      </c>
      <c r="B150" t="s">
        <v>47</v>
      </c>
      <c r="C150" t="s">
        <v>4696</v>
      </c>
      <c r="D150" t="s">
        <v>4903</v>
      </c>
    </row>
    <row r="151" spans="1:4">
      <c r="A151" t="s">
        <v>4158</v>
      </c>
      <c r="B151" t="s">
        <v>47</v>
      </c>
      <c r="C151" t="s">
        <v>4819</v>
      </c>
      <c r="D151" t="s">
        <v>4904</v>
      </c>
    </row>
    <row r="152" spans="1:4">
      <c r="A152" t="s">
        <v>4905</v>
      </c>
      <c r="B152" t="s">
        <v>35</v>
      </c>
      <c r="C152" t="s">
        <v>4527</v>
      </c>
      <c r="D152" t="s">
        <v>4906</v>
      </c>
    </row>
    <row r="153" spans="1:4">
      <c r="A153" t="s">
        <v>4631</v>
      </c>
      <c r="B153" t="s">
        <v>39</v>
      </c>
      <c r="C153" t="s">
        <v>4907</v>
      </c>
      <c r="D153" t="s">
        <v>4908</v>
      </c>
    </row>
    <row r="154" spans="1:4">
      <c r="A154" t="s">
        <v>4631</v>
      </c>
      <c r="B154" t="s">
        <v>39</v>
      </c>
      <c r="C154" t="s">
        <v>4632</v>
      </c>
      <c r="D154" t="s">
        <v>4769</v>
      </c>
    </row>
    <row r="155" spans="1:4">
      <c r="A155" t="s">
        <v>4909</v>
      </c>
      <c r="B155" t="s">
        <v>4910</v>
      </c>
      <c r="C155" t="s">
        <v>4223</v>
      </c>
      <c r="D155" t="s">
        <v>4911</v>
      </c>
    </row>
    <row r="156" spans="1:4">
      <c r="A156" t="s">
        <v>4912</v>
      </c>
      <c r="B156" t="s">
        <v>33</v>
      </c>
      <c r="C156" t="s">
        <v>4458</v>
      </c>
      <c r="D156" t="s">
        <v>4913</v>
      </c>
    </row>
    <row r="157" spans="1:4">
      <c r="A157" t="s">
        <v>3986</v>
      </c>
      <c r="B157" t="s">
        <v>39</v>
      </c>
      <c r="C157" t="s">
        <v>4702</v>
      </c>
      <c r="D157" t="s">
        <v>4914</v>
      </c>
    </row>
    <row r="158" spans="1:4">
      <c r="A158" t="s">
        <v>3724</v>
      </c>
      <c r="B158" t="s">
        <v>157</v>
      </c>
      <c r="C158" t="s">
        <v>4204</v>
      </c>
      <c r="D158" t="s">
        <v>4915</v>
      </c>
    </row>
    <row r="159" spans="1:4">
      <c r="A159" t="s">
        <v>4304</v>
      </c>
      <c r="B159" t="s">
        <v>777</v>
      </c>
      <c r="C159" t="s">
        <v>4540</v>
      </c>
      <c r="D159" t="s">
        <v>4916</v>
      </c>
    </row>
    <row r="160" spans="1:4">
      <c r="A160" t="s">
        <v>4304</v>
      </c>
      <c r="B160" t="s">
        <v>777</v>
      </c>
      <c r="C160" t="s">
        <v>4859</v>
      </c>
      <c r="D160" t="s">
        <v>4917</v>
      </c>
    </row>
    <row r="161" spans="1:4">
      <c r="A161" t="s">
        <v>4918</v>
      </c>
      <c r="B161" t="s">
        <v>47</v>
      </c>
      <c r="C161" t="s">
        <v>4458</v>
      </c>
      <c r="D161" t="s">
        <v>4919</v>
      </c>
    </row>
    <row r="162" spans="1:4">
      <c r="A162" t="s">
        <v>4920</v>
      </c>
      <c r="B162" t="s">
        <v>136</v>
      </c>
      <c r="C162" t="s">
        <v>4761</v>
      </c>
      <c r="D162" t="s">
        <v>4921</v>
      </c>
    </row>
    <row r="163" spans="1:4">
      <c r="A163" t="s">
        <v>4645</v>
      </c>
      <c r="B163" t="s">
        <v>35</v>
      </c>
      <c r="C163" t="s">
        <v>4723</v>
      </c>
      <c r="D163" t="s">
        <v>4922</v>
      </c>
    </row>
    <row r="164" spans="1:4">
      <c r="A164" t="s">
        <v>4645</v>
      </c>
      <c r="B164" t="s">
        <v>35</v>
      </c>
      <c r="C164" t="s">
        <v>3880</v>
      </c>
      <c r="D164" t="s">
        <v>4923</v>
      </c>
    </row>
    <row r="165" spans="1:4">
      <c r="A165" t="s">
        <v>4645</v>
      </c>
      <c r="B165" t="s">
        <v>35</v>
      </c>
      <c r="C165" t="s">
        <v>4458</v>
      </c>
      <c r="D165" t="s">
        <v>4924</v>
      </c>
    </row>
    <row r="166" spans="1:4">
      <c r="A166" t="s">
        <v>4645</v>
      </c>
      <c r="B166" t="s">
        <v>35</v>
      </c>
      <c r="C166" t="s">
        <v>4698</v>
      </c>
      <c r="D166" t="s">
        <v>4925</v>
      </c>
    </row>
    <row r="167" spans="1:4">
      <c r="A167" t="s">
        <v>4645</v>
      </c>
      <c r="B167" t="s">
        <v>35</v>
      </c>
      <c r="C167" t="s">
        <v>4819</v>
      </c>
      <c r="D167" t="s">
        <v>4926</v>
      </c>
    </row>
    <row r="168" spans="1:4">
      <c r="A168" t="s">
        <v>4647</v>
      </c>
      <c r="B168" t="s">
        <v>39</v>
      </c>
      <c r="C168" t="s">
        <v>4907</v>
      </c>
      <c r="D168" t="s">
        <v>4927</v>
      </c>
    </row>
    <row r="169" spans="1:4">
      <c r="A169" t="s">
        <v>4174</v>
      </c>
      <c r="B169" t="s">
        <v>47</v>
      </c>
      <c r="C169" t="s">
        <v>4723</v>
      </c>
      <c r="D169" t="s">
        <v>4928</v>
      </c>
    </row>
    <row r="170" spans="1:4">
      <c r="A170" t="s">
        <v>4174</v>
      </c>
      <c r="B170" t="s">
        <v>47</v>
      </c>
      <c r="C170" t="s">
        <v>4929</v>
      </c>
      <c r="D170" t="s">
        <v>3941</v>
      </c>
    </row>
    <row r="171" spans="1:4">
      <c r="A171" t="s">
        <v>4174</v>
      </c>
      <c r="B171" t="s">
        <v>47</v>
      </c>
      <c r="C171" t="s">
        <v>4531</v>
      </c>
      <c r="D171" t="s">
        <v>4930</v>
      </c>
    </row>
    <row r="172" spans="1:4">
      <c r="A172" t="s">
        <v>4174</v>
      </c>
      <c r="B172" t="s">
        <v>47</v>
      </c>
      <c r="C172" t="s">
        <v>4458</v>
      </c>
      <c r="D172" t="s">
        <v>4931</v>
      </c>
    </row>
    <row r="173" spans="1:4">
      <c r="A173" t="s">
        <v>4174</v>
      </c>
      <c r="B173" t="s">
        <v>47</v>
      </c>
      <c r="C173" t="s">
        <v>4698</v>
      </c>
      <c r="D173" t="s">
        <v>4932</v>
      </c>
    </row>
    <row r="174" spans="1:4">
      <c r="A174" t="s">
        <v>4174</v>
      </c>
      <c r="B174" t="s">
        <v>47</v>
      </c>
      <c r="C174" t="s">
        <v>4819</v>
      </c>
      <c r="D174" t="s">
        <v>4933</v>
      </c>
    </row>
    <row r="175" spans="1:4">
      <c r="A175" t="s">
        <v>3734</v>
      </c>
      <c r="B175" t="s">
        <v>39</v>
      </c>
      <c r="C175" t="s">
        <v>3880</v>
      </c>
      <c r="D175" t="s">
        <v>3960</v>
      </c>
    </row>
    <row r="176" spans="1:4">
      <c r="A176" t="s">
        <v>4934</v>
      </c>
      <c r="B176" t="s">
        <v>47</v>
      </c>
      <c r="C176" t="s">
        <v>4391</v>
      </c>
      <c r="D176" t="s">
        <v>4935</v>
      </c>
    </row>
    <row r="177" spans="1:4">
      <c r="A177" t="s">
        <v>3996</v>
      </c>
      <c r="B177" t="s">
        <v>39</v>
      </c>
      <c r="C177" t="s">
        <v>3379</v>
      </c>
      <c r="D177" t="s">
        <v>4936</v>
      </c>
    </row>
    <row r="178" spans="1:4">
      <c r="A178" t="s">
        <v>3996</v>
      </c>
      <c r="B178" t="s">
        <v>39</v>
      </c>
      <c r="C178" t="s">
        <v>3823</v>
      </c>
      <c r="D178" t="s">
        <v>4937</v>
      </c>
    </row>
    <row r="179" spans="1:4">
      <c r="A179" t="s">
        <v>3759</v>
      </c>
      <c r="B179" t="s">
        <v>35</v>
      </c>
      <c r="C179" t="s">
        <v>4223</v>
      </c>
      <c r="D179" t="s">
        <v>4938</v>
      </c>
    </row>
    <row r="180" spans="1:4">
      <c r="A180" t="s">
        <v>3759</v>
      </c>
      <c r="B180" t="s">
        <v>35</v>
      </c>
      <c r="C180" t="s">
        <v>3880</v>
      </c>
      <c r="D180" t="s">
        <v>4939</v>
      </c>
    </row>
    <row r="181" spans="1:4">
      <c r="A181" t="s">
        <v>3759</v>
      </c>
      <c r="B181" t="s">
        <v>35</v>
      </c>
      <c r="C181" t="s">
        <v>4698</v>
      </c>
      <c r="D181" t="s">
        <v>4940</v>
      </c>
    </row>
    <row r="182" spans="1:4">
      <c r="A182" t="s">
        <v>3759</v>
      </c>
      <c r="B182" t="s">
        <v>35</v>
      </c>
      <c r="C182" t="s">
        <v>4417</v>
      </c>
      <c r="D182" t="s">
        <v>4941</v>
      </c>
    </row>
    <row r="183" spans="1:4">
      <c r="A183" t="s">
        <v>3759</v>
      </c>
      <c r="B183" t="s">
        <v>35</v>
      </c>
      <c r="C183" t="s">
        <v>4204</v>
      </c>
      <c r="D183" t="s">
        <v>4942</v>
      </c>
    </row>
    <row r="184" spans="1:4">
      <c r="A184" t="s">
        <v>4011</v>
      </c>
      <c r="B184" t="s">
        <v>47</v>
      </c>
      <c r="C184" t="s">
        <v>4012</v>
      </c>
      <c r="D184" t="s">
        <v>3916</v>
      </c>
    </row>
    <row r="185" spans="1:4">
      <c r="A185" t="s">
        <v>4011</v>
      </c>
      <c r="B185" t="s">
        <v>47</v>
      </c>
      <c r="C185" t="s">
        <v>3823</v>
      </c>
      <c r="D185" t="s">
        <v>4943</v>
      </c>
    </row>
    <row r="186" spans="1:4">
      <c r="A186" t="s">
        <v>4944</v>
      </c>
      <c r="B186" t="s">
        <v>157</v>
      </c>
      <c r="C186" t="s">
        <v>4945</v>
      </c>
      <c r="D186" t="s">
        <v>4946</v>
      </c>
    </row>
    <row r="187" spans="1:4">
      <c r="A187" t="s">
        <v>4661</v>
      </c>
      <c r="B187" t="s">
        <v>35</v>
      </c>
      <c r="C187" t="s">
        <v>4698</v>
      </c>
      <c r="D187" t="s">
        <v>4947</v>
      </c>
    </row>
    <row r="188" spans="1:4">
      <c r="A188" t="s">
        <v>4663</v>
      </c>
      <c r="B188" t="s">
        <v>33</v>
      </c>
      <c r="C188" t="s">
        <v>4551</v>
      </c>
      <c r="D188" t="s">
        <v>4948</v>
      </c>
    </row>
    <row r="189" spans="1:4">
      <c r="A189" t="s">
        <v>4663</v>
      </c>
      <c r="B189" t="s">
        <v>33</v>
      </c>
      <c r="C189" t="s">
        <v>4263</v>
      </c>
      <c r="D189" t="s">
        <v>4949</v>
      </c>
    </row>
    <row r="190" spans="1:4">
      <c r="A190" t="s">
        <v>4194</v>
      </c>
      <c r="B190" t="s">
        <v>39</v>
      </c>
      <c r="C190" t="s">
        <v>4223</v>
      </c>
      <c r="D190" t="s">
        <v>4950</v>
      </c>
    </row>
    <row r="191" spans="1:4">
      <c r="A191" t="s">
        <v>4951</v>
      </c>
      <c r="B191" t="s">
        <v>35</v>
      </c>
      <c r="C191" t="s">
        <v>4761</v>
      </c>
      <c r="D191" t="s">
        <v>4564</v>
      </c>
    </row>
    <row r="192" spans="1:4">
      <c r="A192" t="s">
        <v>4952</v>
      </c>
      <c r="B192" t="s">
        <v>157</v>
      </c>
      <c r="C192" t="s">
        <v>4263</v>
      </c>
      <c r="D192" t="s">
        <v>4953</v>
      </c>
    </row>
    <row r="193" spans="1:4">
      <c r="A193" t="s">
        <v>4954</v>
      </c>
      <c r="B193" t="s">
        <v>39</v>
      </c>
      <c r="C193" t="s">
        <v>4761</v>
      </c>
      <c r="D193" t="s">
        <v>3960</v>
      </c>
    </row>
    <row r="194" spans="1:4">
      <c r="A194" t="s">
        <v>4668</v>
      </c>
      <c r="B194" t="s">
        <v>39</v>
      </c>
      <c r="C194" t="s">
        <v>4551</v>
      </c>
      <c r="D194" t="s">
        <v>4955</v>
      </c>
    </row>
    <row r="195" spans="1:4">
      <c r="A195" t="s">
        <v>4668</v>
      </c>
      <c r="B195" t="s">
        <v>39</v>
      </c>
      <c r="C195" t="s">
        <v>4263</v>
      </c>
      <c r="D195" t="s">
        <v>4956</v>
      </c>
    </row>
    <row r="196" spans="1:4">
      <c r="A196" t="s">
        <v>4957</v>
      </c>
      <c r="B196" t="s">
        <v>67</v>
      </c>
      <c r="C196" t="s">
        <v>4958</v>
      </c>
      <c r="D196" t="s">
        <v>4959</v>
      </c>
    </row>
    <row r="197" spans="1:4">
      <c r="A197" t="s">
        <v>4960</v>
      </c>
      <c r="B197" t="s">
        <v>35</v>
      </c>
      <c r="C197" t="s">
        <v>4761</v>
      </c>
      <c r="D197" t="s">
        <v>4961</v>
      </c>
    </row>
    <row r="198" spans="1:4">
      <c r="A198" t="s">
        <v>4686</v>
      </c>
      <c r="B198" t="s">
        <v>39</v>
      </c>
      <c r="C198" t="s">
        <v>4709</v>
      </c>
      <c r="D198" t="s">
        <v>4962</v>
      </c>
    </row>
    <row r="199" spans="1:4">
      <c r="A199" t="s">
        <v>4686</v>
      </c>
      <c r="B199" t="s">
        <v>39</v>
      </c>
      <c r="C199" t="s">
        <v>4458</v>
      </c>
      <c r="D199" t="s">
        <v>4963</v>
      </c>
    </row>
    <row r="200" spans="1:4">
      <c r="A200" t="s">
        <v>4686</v>
      </c>
      <c r="B200" t="s">
        <v>39</v>
      </c>
      <c r="C200" t="s">
        <v>4696</v>
      </c>
      <c r="D200" t="s">
        <v>4964</v>
      </c>
    </row>
    <row r="201" spans="1:4">
      <c r="A201" t="s">
        <v>4686</v>
      </c>
      <c r="B201" t="s">
        <v>39</v>
      </c>
      <c r="C201" t="s">
        <v>4819</v>
      </c>
      <c r="D201" t="s">
        <v>4965</v>
      </c>
    </row>
    <row r="202" spans="1:4">
      <c r="A202" t="s">
        <v>4966</v>
      </c>
      <c r="B202" t="s">
        <v>33</v>
      </c>
      <c r="C202" t="s">
        <v>4967</v>
      </c>
      <c r="D202" t="s">
        <v>4555</v>
      </c>
    </row>
    <row r="203" spans="1:4">
      <c r="A203" t="s">
        <v>4968</v>
      </c>
      <c r="B203" t="s">
        <v>39</v>
      </c>
      <c r="C203" t="s">
        <v>4333</v>
      </c>
      <c r="D203" t="s">
        <v>4969</v>
      </c>
    </row>
    <row r="204" spans="1:4">
      <c r="A204" t="s">
        <v>4062</v>
      </c>
      <c r="B204" t="s">
        <v>35</v>
      </c>
      <c r="C204" t="s">
        <v>4333</v>
      </c>
      <c r="D204" t="s">
        <v>4970</v>
      </c>
    </row>
    <row r="205" spans="1:4">
      <c r="A205" t="s">
        <v>4076</v>
      </c>
      <c r="B205" t="s">
        <v>39</v>
      </c>
      <c r="C205" t="s">
        <v>3458</v>
      </c>
      <c r="D205" t="s">
        <v>4971</v>
      </c>
    </row>
    <row r="206" spans="1:4">
      <c r="A206" t="s">
        <v>3882</v>
      </c>
      <c r="B206" t="s">
        <v>39</v>
      </c>
      <c r="C206" t="s">
        <v>4355</v>
      </c>
      <c r="D206" t="s">
        <v>4972</v>
      </c>
    </row>
    <row r="207" spans="1:4">
      <c r="A207" t="s">
        <v>3882</v>
      </c>
      <c r="B207" t="s">
        <v>39</v>
      </c>
      <c r="C207" t="s">
        <v>4973</v>
      </c>
      <c r="D207" t="s">
        <v>4974</v>
      </c>
    </row>
    <row r="208" spans="1:4">
      <c r="A208" t="s">
        <v>3882</v>
      </c>
      <c r="B208" t="s">
        <v>39</v>
      </c>
      <c r="C208" t="s">
        <v>4333</v>
      </c>
      <c r="D208" t="s">
        <v>4975</v>
      </c>
    </row>
    <row r="209" spans="1:4">
      <c r="A209" t="s">
        <v>3890</v>
      </c>
      <c r="B209" t="s">
        <v>47</v>
      </c>
      <c r="C209" t="s">
        <v>4333</v>
      </c>
      <c r="D209" t="s">
        <v>4976</v>
      </c>
    </row>
    <row r="210" spans="1:4">
      <c r="A210" t="s">
        <v>3565</v>
      </c>
      <c r="B210" t="s">
        <v>39</v>
      </c>
      <c r="C210" t="s">
        <v>4333</v>
      </c>
      <c r="D210" t="s">
        <v>4977</v>
      </c>
    </row>
    <row r="211" spans="1:4">
      <c r="A211" t="s">
        <v>3576</v>
      </c>
      <c r="B211" t="s">
        <v>39</v>
      </c>
      <c r="C211" t="s">
        <v>4333</v>
      </c>
      <c r="D211" t="s">
        <v>4978</v>
      </c>
    </row>
    <row r="212" spans="1:4">
      <c r="A212" t="s">
        <v>4824</v>
      </c>
      <c r="B212" t="s">
        <v>44</v>
      </c>
      <c r="C212" t="s">
        <v>4333</v>
      </c>
      <c r="D212" t="s">
        <v>4979</v>
      </c>
    </row>
    <row r="213" spans="1:4">
      <c r="A213" t="s">
        <v>4562</v>
      </c>
      <c r="B213" t="s">
        <v>39</v>
      </c>
      <c r="C213" t="s">
        <v>4831</v>
      </c>
      <c r="D213" t="s">
        <v>4980</v>
      </c>
    </row>
    <row r="214" spans="1:4">
      <c r="A214" t="s">
        <v>4562</v>
      </c>
      <c r="B214" t="s">
        <v>39</v>
      </c>
      <c r="C214" t="s">
        <v>4831</v>
      </c>
      <c r="D214" t="s">
        <v>4981</v>
      </c>
    </row>
    <row r="215" spans="1:4">
      <c r="A215" t="s">
        <v>4982</v>
      </c>
      <c r="B215" t="s">
        <v>44</v>
      </c>
      <c r="C215" t="s">
        <v>4333</v>
      </c>
      <c r="D215" t="s">
        <v>4983</v>
      </c>
    </row>
    <row r="216" spans="1:4">
      <c r="A216" t="s">
        <v>4410</v>
      </c>
      <c r="B216" t="s">
        <v>44</v>
      </c>
      <c r="C216" t="s">
        <v>4984</v>
      </c>
      <c r="D216" t="s">
        <v>4985</v>
      </c>
    </row>
    <row r="217" spans="1:4">
      <c r="A217" t="s">
        <v>3626</v>
      </c>
      <c r="B217" t="s">
        <v>158</v>
      </c>
      <c r="C217" t="s">
        <v>4855</v>
      </c>
      <c r="D217" t="s">
        <v>4986</v>
      </c>
    </row>
    <row r="218" spans="1:4">
      <c r="A218" t="s">
        <v>4864</v>
      </c>
      <c r="B218" t="s">
        <v>61</v>
      </c>
      <c r="C218" t="s">
        <v>4333</v>
      </c>
      <c r="D218" t="s">
        <v>3798</v>
      </c>
    </row>
    <row r="219" spans="1:4">
      <c r="A219" t="s">
        <v>4281</v>
      </c>
      <c r="B219" t="s">
        <v>39</v>
      </c>
      <c r="C219" t="s">
        <v>4333</v>
      </c>
      <c r="D219" t="s">
        <v>4987</v>
      </c>
    </row>
    <row r="220" spans="1:4">
      <c r="A220" t="s">
        <v>4631</v>
      </c>
      <c r="B220" t="s">
        <v>39</v>
      </c>
      <c r="C220" t="s">
        <v>4907</v>
      </c>
      <c r="D220" t="s">
        <v>4988</v>
      </c>
    </row>
    <row r="221" spans="1:4">
      <c r="A221" t="s">
        <v>4631</v>
      </c>
      <c r="B221" t="s">
        <v>39</v>
      </c>
      <c r="C221" t="s">
        <v>4907</v>
      </c>
      <c r="D221" t="s">
        <v>4989</v>
      </c>
    </row>
    <row r="222" spans="1:4">
      <c r="A222" t="s">
        <v>4304</v>
      </c>
      <c r="B222" t="s">
        <v>777</v>
      </c>
      <c r="C222" t="s">
        <v>4809</v>
      </c>
      <c r="D222" t="s">
        <v>4990</v>
      </c>
    </row>
    <row r="223" spans="1:4">
      <c r="A223" t="s">
        <v>4304</v>
      </c>
      <c r="B223" t="s">
        <v>777</v>
      </c>
      <c r="C223" t="s">
        <v>4991</v>
      </c>
      <c r="D223" t="s">
        <v>4992</v>
      </c>
    </row>
    <row r="224" spans="1:4">
      <c r="A224" t="s">
        <v>4174</v>
      </c>
      <c r="B224" t="s">
        <v>47</v>
      </c>
      <c r="C224" t="s">
        <v>4458</v>
      </c>
      <c r="D224" t="s">
        <v>4993</v>
      </c>
    </row>
  </sheetData>
  <pageMargins left="0.7" right="0.7" top="0.75" bottom="0.75" header="0.3" footer="0.3"/>
  <tableParts count="4">
    <tablePart r:id="rId1"/>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A543-7C02-4BC9-B512-79ED16199255}">
  <dimension ref="A1:D334"/>
  <sheetViews>
    <sheetView workbookViewId="0">
      <selection activeCell="E267" sqref="E267"/>
    </sheetView>
  </sheetViews>
  <sheetFormatPr defaultRowHeight="14.45"/>
  <cols>
    <col min="1" max="1" width="52.28515625" bestFit="1" customWidth="1"/>
    <col min="2" max="2" width="10" bestFit="1" customWidth="1"/>
    <col min="3" max="3" width="80.85546875" bestFit="1" customWidth="1"/>
    <col min="4" max="4" width="13.5703125" bestFit="1" customWidth="1"/>
    <col min="5" max="5" width="80.85546875" bestFit="1" customWidth="1"/>
    <col min="6" max="6" width="35.28515625" bestFit="1" customWidth="1"/>
    <col min="7" max="7" width="22" bestFit="1" customWidth="1"/>
    <col min="8" max="8" width="12.42578125" bestFit="1" customWidth="1"/>
  </cols>
  <sheetData>
    <row r="1" spans="1:4" ht="43.15">
      <c r="A1" t="s">
        <v>3355</v>
      </c>
      <c r="B1" t="s">
        <v>1</v>
      </c>
      <c r="C1" t="s">
        <v>3356</v>
      </c>
      <c r="D1" s="6" t="s">
        <v>4994</v>
      </c>
    </row>
    <row r="2" spans="1:4">
      <c r="A2" t="s">
        <v>4995</v>
      </c>
      <c r="B2" t="s">
        <v>35</v>
      </c>
      <c r="C2" t="s">
        <v>4996</v>
      </c>
      <c r="D2" t="s">
        <v>4997</v>
      </c>
    </row>
    <row r="3" spans="1:4">
      <c r="A3" t="s">
        <v>4995</v>
      </c>
      <c r="B3" t="s">
        <v>35</v>
      </c>
      <c r="C3" t="s">
        <v>4998</v>
      </c>
      <c r="D3" t="s">
        <v>4999</v>
      </c>
    </row>
    <row r="4" spans="1:4">
      <c r="A4" t="s">
        <v>3386</v>
      </c>
      <c r="B4" t="s">
        <v>35</v>
      </c>
      <c r="C4" t="s">
        <v>5000</v>
      </c>
      <c r="D4" t="s">
        <v>5001</v>
      </c>
    </row>
    <row r="5" spans="1:4">
      <c r="A5" t="s">
        <v>3386</v>
      </c>
      <c r="B5" t="s">
        <v>35</v>
      </c>
      <c r="C5" t="s">
        <v>4996</v>
      </c>
      <c r="D5" t="s">
        <v>5002</v>
      </c>
    </row>
    <row r="6" spans="1:4">
      <c r="A6" t="s">
        <v>3386</v>
      </c>
      <c r="B6" t="s">
        <v>35</v>
      </c>
      <c r="C6" t="s">
        <v>5003</v>
      </c>
      <c r="D6" t="s">
        <v>5004</v>
      </c>
    </row>
    <row r="7" spans="1:4">
      <c r="A7" t="s">
        <v>3386</v>
      </c>
      <c r="B7" t="s">
        <v>35</v>
      </c>
      <c r="C7" t="s">
        <v>5005</v>
      </c>
      <c r="D7" t="s">
        <v>5006</v>
      </c>
    </row>
    <row r="8" spans="1:4">
      <c r="A8" t="s">
        <v>3386</v>
      </c>
      <c r="B8" t="s">
        <v>35</v>
      </c>
      <c r="C8" t="s">
        <v>4689</v>
      </c>
      <c r="D8" t="s">
        <v>5007</v>
      </c>
    </row>
    <row r="9" spans="1:4">
      <c r="A9" t="s">
        <v>5008</v>
      </c>
      <c r="B9" t="s">
        <v>80</v>
      </c>
      <c r="C9" t="s">
        <v>5009</v>
      </c>
      <c r="D9" t="s">
        <v>5010</v>
      </c>
    </row>
    <row r="10" spans="1:4">
      <c r="A10" t="s">
        <v>5008</v>
      </c>
      <c r="B10" t="s">
        <v>80</v>
      </c>
      <c r="C10" t="s">
        <v>4998</v>
      </c>
      <c r="D10" t="s">
        <v>5011</v>
      </c>
    </row>
    <row r="11" spans="1:4">
      <c r="A11" t="s">
        <v>3394</v>
      </c>
      <c r="B11" t="s">
        <v>3019</v>
      </c>
      <c r="C11" t="s">
        <v>5000</v>
      </c>
      <c r="D11" t="s">
        <v>5012</v>
      </c>
    </row>
    <row r="12" spans="1:4">
      <c r="A12" t="s">
        <v>3394</v>
      </c>
      <c r="B12" t="s">
        <v>3019</v>
      </c>
      <c r="C12" t="s">
        <v>4996</v>
      </c>
      <c r="D12" t="s">
        <v>5013</v>
      </c>
    </row>
    <row r="13" spans="1:4">
      <c r="A13" t="s">
        <v>3399</v>
      </c>
      <c r="B13" t="s">
        <v>39</v>
      </c>
      <c r="C13" t="s">
        <v>4998</v>
      </c>
      <c r="D13" t="s">
        <v>5014</v>
      </c>
    </row>
    <row r="14" spans="1:4">
      <c r="A14" t="s">
        <v>5015</v>
      </c>
      <c r="B14" t="s">
        <v>35</v>
      </c>
      <c r="C14" t="s">
        <v>4998</v>
      </c>
      <c r="D14" t="s">
        <v>5016</v>
      </c>
    </row>
    <row r="15" spans="1:4">
      <c r="A15" t="s">
        <v>5017</v>
      </c>
      <c r="B15" t="s">
        <v>41</v>
      </c>
      <c r="C15" t="s">
        <v>5009</v>
      </c>
      <c r="D15" t="s">
        <v>5018</v>
      </c>
    </row>
    <row r="16" spans="1:4">
      <c r="A16" t="s">
        <v>4344</v>
      </c>
      <c r="B16" t="s">
        <v>39</v>
      </c>
      <c r="C16" t="s">
        <v>5019</v>
      </c>
      <c r="D16" t="s">
        <v>5020</v>
      </c>
    </row>
    <row r="17" spans="1:4">
      <c r="A17" t="s">
        <v>4344</v>
      </c>
      <c r="B17" t="s">
        <v>39</v>
      </c>
      <c r="C17" t="s">
        <v>5021</v>
      </c>
      <c r="D17" t="s">
        <v>5022</v>
      </c>
    </row>
    <row r="18" spans="1:4">
      <c r="A18" t="s">
        <v>4344</v>
      </c>
      <c r="B18" t="s">
        <v>39</v>
      </c>
      <c r="C18" t="s">
        <v>5023</v>
      </c>
      <c r="D18" t="s">
        <v>5024</v>
      </c>
    </row>
    <row r="19" spans="1:4">
      <c r="A19" t="s">
        <v>4344</v>
      </c>
      <c r="B19" t="s">
        <v>39</v>
      </c>
      <c r="C19" t="s">
        <v>4213</v>
      </c>
      <c r="D19" t="s">
        <v>5025</v>
      </c>
    </row>
    <row r="20" spans="1:4">
      <c r="A20" t="s">
        <v>5026</v>
      </c>
      <c r="B20" t="s">
        <v>35</v>
      </c>
      <c r="C20" t="s">
        <v>4998</v>
      </c>
      <c r="D20" t="s">
        <v>5027</v>
      </c>
    </row>
    <row r="21" spans="1:4">
      <c r="A21" t="s">
        <v>2061</v>
      </c>
      <c r="B21" t="s">
        <v>39</v>
      </c>
      <c r="C21" t="s">
        <v>5009</v>
      </c>
      <c r="D21" t="s">
        <v>5028</v>
      </c>
    </row>
    <row r="22" spans="1:4">
      <c r="A22" t="s">
        <v>2061</v>
      </c>
      <c r="B22" t="s">
        <v>39</v>
      </c>
      <c r="C22" t="s">
        <v>5029</v>
      </c>
      <c r="D22" t="s">
        <v>5030</v>
      </c>
    </row>
    <row r="23" spans="1:4">
      <c r="A23" t="s">
        <v>2061</v>
      </c>
      <c r="B23" t="s">
        <v>39</v>
      </c>
      <c r="C23" t="s">
        <v>4998</v>
      </c>
      <c r="D23" t="s">
        <v>5031</v>
      </c>
    </row>
    <row r="24" spans="1:4">
      <c r="A24" t="s">
        <v>2061</v>
      </c>
      <c r="B24" t="s">
        <v>39</v>
      </c>
      <c r="C24" t="s">
        <v>5032</v>
      </c>
      <c r="D24" t="s">
        <v>5033</v>
      </c>
    </row>
    <row r="25" spans="1:4">
      <c r="A25" t="s">
        <v>2061</v>
      </c>
      <c r="B25" t="s">
        <v>39</v>
      </c>
      <c r="C25" t="s">
        <v>5034</v>
      </c>
      <c r="D25" t="s">
        <v>5035</v>
      </c>
    </row>
    <row r="26" spans="1:4">
      <c r="A26" t="s">
        <v>2061</v>
      </c>
      <c r="B26" t="s">
        <v>39</v>
      </c>
      <c r="C26" t="s">
        <v>4396</v>
      </c>
      <c r="D26" t="s">
        <v>5036</v>
      </c>
    </row>
    <row r="27" spans="1:4">
      <c r="A27" t="s">
        <v>3410</v>
      </c>
      <c r="B27" t="s">
        <v>157</v>
      </c>
      <c r="C27" t="s">
        <v>5037</v>
      </c>
      <c r="D27" t="s">
        <v>5038</v>
      </c>
    </row>
    <row r="28" spans="1:4">
      <c r="A28" t="s">
        <v>3410</v>
      </c>
      <c r="B28" t="s">
        <v>157</v>
      </c>
      <c r="C28" t="s">
        <v>4296</v>
      </c>
      <c r="D28" t="s">
        <v>5039</v>
      </c>
    </row>
    <row r="29" spans="1:4">
      <c r="A29" t="s">
        <v>5040</v>
      </c>
      <c r="B29" t="s">
        <v>44</v>
      </c>
      <c r="C29" t="s">
        <v>4998</v>
      </c>
      <c r="D29" t="s">
        <v>5041</v>
      </c>
    </row>
    <row r="30" spans="1:4">
      <c r="A30" t="s">
        <v>3414</v>
      </c>
      <c r="B30" t="s">
        <v>35</v>
      </c>
      <c r="C30" t="s">
        <v>5009</v>
      </c>
      <c r="D30" t="s">
        <v>5042</v>
      </c>
    </row>
    <row r="31" spans="1:4">
      <c r="A31" t="s">
        <v>3414</v>
      </c>
      <c r="B31" t="s">
        <v>35</v>
      </c>
      <c r="C31" t="s">
        <v>4996</v>
      </c>
      <c r="D31" t="s">
        <v>5043</v>
      </c>
    </row>
    <row r="32" spans="1:4">
      <c r="A32" t="s">
        <v>3414</v>
      </c>
      <c r="B32" t="s">
        <v>35</v>
      </c>
      <c r="C32" t="s">
        <v>5029</v>
      </c>
      <c r="D32" t="s">
        <v>5044</v>
      </c>
    </row>
    <row r="33" spans="1:4">
      <c r="A33" t="s">
        <v>3414</v>
      </c>
      <c r="B33" t="s">
        <v>35</v>
      </c>
      <c r="C33" t="s">
        <v>4998</v>
      </c>
      <c r="D33" t="s">
        <v>5045</v>
      </c>
    </row>
    <row r="34" spans="1:4">
      <c r="A34" t="s">
        <v>3414</v>
      </c>
      <c r="B34" t="s">
        <v>35</v>
      </c>
      <c r="C34" t="s">
        <v>5032</v>
      </c>
      <c r="D34" t="s">
        <v>5046</v>
      </c>
    </row>
    <row r="35" spans="1:4">
      <c r="A35" t="s">
        <v>3414</v>
      </c>
      <c r="B35" t="s">
        <v>35</v>
      </c>
      <c r="C35" t="s">
        <v>5047</v>
      </c>
      <c r="D35" t="s">
        <v>5048</v>
      </c>
    </row>
    <row r="36" spans="1:4">
      <c r="A36" t="s">
        <v>3414</v>
      </c>
      <c r="B36" t="s">
        <v>35</v>
      </c>
      <c r="C36" t="s">
        <v>4213</v>
      </c>
      <c r="D36" t="s">
        <v>5049</v>
      </c>
    </row>
    <row r="37" spans="1:4">
      <c r="A37" t="s">
        <v>3414</v>
      </c>
      <c r="B37" t="s">
        <v>35</v>
      </c>
      <c r="C37" t="s">
        <v>4296</v>
      </c>
      <c r="D37" t="s">
        <v>5050</v>
      </c>
    </row>
    <row r="38" spans="1:4">
      <c r="A38" t="s">
        <v>3414</v>
      </c>
      <c r="B38" t="s">
        <v>35</v>
      </c>
      <c r="C38" t="s">
        <v>4223</v>
      </c>
      <c r="D38" t="s">
        <v>3939</v>
      </c>
    </row>
    <row r="39" spans="1:4">
      <c r="A39" t="s">
        <v>4968</v>
      </c>
      <c r="B39" t="s">
        <v>39</v>
      </c>
      <c r="C39" t="s">
        <v>4211</v>
      </c>
      <c r="D39" t="s">
        <v>5051</v>
      </c>
    </row>
    <row r="40" spans="1:4">
      <c r="A40" t="s">
        <v>4062</v>
      </c>
      <c r="B40" t="s">
        <v>35</v>
      </c>
      <c r="C40" t="s">
        <v>4211</v>
      </c>
      <c r="D40" t="s">
        <v>5052</v>
      </c>
    </row>
    <row r="41" spans="1:4">
      <c r="A41" t="s">
        <v>5053</v>
      </c>
      <c r="B41" t="s">
        <v>41</v>
      </c>
      <c r="C41" t="s">
        <v>5009</v>
      </c>
      <c r="D41" t="s">
        <v>5054</v>
      </c>
    </row>
    <row r="42" spans="1:4">
      <c r="A42" t="s">
        <v>5053</v>
      </c>
      <c r="B42" t="s">
        <v>41</v>
      </c>
      <c r="C42" t="s">
        <v>5032</v>
      </c>
      <c r="D42" t="s">
        <v>5055</v>
      </c>
    </row>
    <row r="43" spans="1:4">
      <c r="A43" t="s">
        <v>5053</v>
      </c>
      <c r="B43" t="s">
        <v>41</v>
      </c>
      <c r="C43" t="s">
        <v>4289</v>
      </c>
      <c r="D43" t="s">
        <v>5056</v>
      </c>
    </row>
    <row r="44" spans="1:4">
      <c r="A44" t="s">
        <v>5057</v>
      </c>
      <c r="B44" t="s">
        <v>47</v>
      </c>
      <c r="C44" t="s">
        <v>4996</v>
      </c>
      <c r="D44" t="s">
        <v>5058</v>
      </c>
    </row>
    <row r="45" spans="1:4">
      <c r="A45" t="s">
        <v>5059</v>
      </c>
      <c r="B45" t="s">
        <v>44</v>
      </c>
      <c r="C45" t="s">
        <v>5009</v>
      </c>
      <c r="D45" t="s">
        <v>5060</v>
      </c>
    </row>
    <row r="46" spans="1:4">
      <c r="A46" t="s">
        <v>5061</v>
      </c>
      <c r="B46" t="s">
        <v>35</v>
      </c>
      <c r="C46" t="s">
        <v>4998</v>
      </c>
      <c r="D46" t="s">
        <v>5062</v>
      </c>
    </row>
    <row r="47" spans="1:4">
      <c r="A47" t="s">
        <v>5063</v>
      </c>
      <c r="B47" t="s">
        <v>33</v>
      </c>
      <c r="C47" t="s">
        <v>5000</v>
      </c>
      <c r="D47" t="s">
        <v>5064</v>
      </c>
    </row>
    <row r="48" spans="1:4">
      <c r="A48" t="s">
        <v>4074</v>
      </c>
      <c r="B48" t="s">
        <v>47</v>
      </c>
      <c r="C48" t="s">
        <v>5029</v>
      </c>
      <c r="D48" t="s">
        <v>5065</v>
      </c>
    </row>
    <row r="49" spans="1:4">
      <c r="A49" t="s">
        <v>4074</v>
      </c>
      <c r="B49" t="s">
        <v>47</v>
      </c>
      <c r="C49" t="s">
        <v>5032</v>
      </c>
      <c r="D49" t="s">
        <v>5066</v>
      </c>
    </row>
    <row r="50" spans="1:4">
      <c r="A50" t="s">
        <v>54</v>
      </c>
      <c r="B50" t="s">
        <v>39</v>
      </c>
      <c r="C50" t="s">
        <v>5009</v>
      </c>
      <c r="D50" t="s">
        <v>5067</v>
      </c>
    </row>
    <row r="51" spans="1:4">
      <c r="A51" t="s">
        <v>54</v>
      </c>
      <c r="B51" t="s">
        <v>39</v>
      </c>
      <c r="C51" t="s">
        <v>4996</v>
      </c>
      <c r="D51" t="s">
        <v>5068</v>
      </c>
    </row>
    <row r="52" spans="1:4">
      <c r="A52" t="s">
        <v>54</v>
      </c>
      <c r="B52" t="s">
        <v>39</v>
      </c>
      <c r="C52" t="s">
        <v>5029</v>
      </c>
      <c r="D52" t="s">
        <v>5069</v>
      </c>
    </row>
    <row r="53" spans="1:4">
      <c r="A53" t="s">
        <v>54</v>
      </c>
      <c r="B53" t="s">
        <v>39</v>
      </c>
      <c r="C53" t="s">
        <v>4998</v>
      </c>
      <c r="D53" t="s">
        <v>5070</v>
      </c>
    </row>
    <row r="54" spans="1:4">
      <c r="A54" t="s">
        <v>54</v>
      </c>
      <c r="B54" t="s">
        <v>39</v>
      </c>
      <c r="C54" t="s">
        <v>5032</v>
      </c>
      <c r="D54" t="s">
        <v>5071</v>
      </c>
    </row>
    <row r="55" spans="1:4">
      <c r="A55" t="s">
        <v>5072</v>
      </c>
      <c r="B55" t="s">
        <v>35</v>
      </c>
      <c r="C55" t="s">
        <v>4998</v>
      </c>
      <c r="D55" t="s">
        <v>5073</v>
      </c>
    </row>
    <row r="56" spans="1:4">
      <c r="A56" t="s">
        <v>3455</v>
      </c>
      <c r="B56" t="s">
        <v>35</v>
      </c>
      <c r="C56" t="s">
        <v>5074</v>
      </c>
      <c r="D56" t="s">
        <v>5075</v>
      </c>
    </row>
    <row r="57" spans="1:4">
      <c r="A57" t="s">
        <v>3455</v>
      </c>
      <c r="B57" t="s">
        <v>35</v>
      </c>
      <c r="C57" t="s">
        <v>5076</v>
      </c>
      <c r="D57" t="s">
        <v>5077</v>
      </c>
    </row>
    <row r="58" spans="1:4">
      <c r="A58" t="s">
        <v>5078</v>
      </c>
      <c r="B58" t="s">
        <v>44</v>
      </c>
      <c r="C58" t="s">
        <v>5009</v>
      </c>
      <c r="D58" t="s">
        <v>5079</v>
      </c>
    </row>
    <row r="59" spans="1:4">
      <c r="A59" t="s">
        <v>5080</v>
      </c>
      <c r="B59" t="s">
        <v>39</v>
      </c>
      <c r="C59" t="s">
        <v>5032</v>
      </c>
      <c r="D59" t="s">
        <v>5081</v>
      </c>
    </row>
    <row r="60" spans="1:4">
      <c r="A60" t="s">
        <v>5082</v>
      </c>
      <c r="B60" t="s">
        <v>39</v>
      </c>
      <c r="C60" t="s">
        <v>4996</v>
      </c>
      <c r="D60" t="s">
        <v>5083</v>
      </c>
    </row>
    <row r="61" spans="1:4">
      <c r="A61" t="s">
        <v>5084</v>
      </c>
      <c r="B61" t="s">
        <v>39</v>
      </c>
      <c r="C61" t="s">
        <v>5009</v>
      </c>
      <c r="D61" t="s">
        <v>5085</v>
      </c>
    </row>
    <row r="62" spans="1:4">
      <c r="A62" t="s">
        <v>5084</v>
      </c>
      <c r="B62" t="s">
        <v>39</v>
      </c>
      <c r="C62" t="s">
        <v>5032</v>
      </c>
      <c r="D62" t="s">
        <v>5086</v>
      </c>
    </row>
    <row r="63" spans="1:4">
      <c r="A63" t="s">
        <v>4738</v>
      </c>
      <c r="B63" t="s">
        <v>35</v>
      </c>
      <c r="C63" t="s">
        <v>5087</v>
      </c>
      <c r="D63" t="s">
        <v>5088</v>
      </c>
    </row>
    <row r="64" spans="1:4">
      <c r="A64" t="s">
        <v>4336</v>
      </c>
      <c r="B64" t="s">
        <v>65</v>
      </c>
      <c r="C64" t="s">
        <v>4996</v>
      </c>
      <c r="D64" t="s">
        <v>5089</v>
      </c>
    </row>
    <row r="65" spans="1:4">
      <c r="A65" t="s">
        <v>4336</v>
      </c>
      <c r="B65" t="s">
        <v>65</v>
      </c>
      <c r="C65" t="s">
        <v>5032</v>
      </c>
      <c r="D65" t="s">
        <v>5090</v>
      </c>
    </row>
    <row r="66" spans="1:4">
      <c r="A66" t="s">
        <v>5091</v>
      </c>
      <c r="B66" t="s">
        <v>44</v>
      </c>
      <c r="C66" t="s">
        <v>5000</v>
      </c>
      <c r="D66" t="s">
        <v>5092</v>
      </c>
    </row>
    <row r="67" spans="1:4">
      <c r="A67" t="s">
        <v>5093</v>
      </c>
      <c r="B67" t="s">
        <v>1294</v>
      </c>
      <c r="C67" t="s">
        <v>5029</v>
      </c>
      <c r="D67" t="s">
        <v>5094</v>
      </c>
    </row>
    <row r="68" spans="1:4">
      <c r="A68" t="s">
        <v>5093</v>
      </c>
      <c r="B68" t="s">
        <v>1294</v>
      </c>
      <c r="C68" t="s">
        <v>4998</v>
      </c>
      <c r="D68" t="s">
        <v>5095</v>
      </c>
    </row>
    <row r="69" spans="1:4">
      <c r="A69" t="s">
        <v>5096</v>
      </c>
      <c r="B69" t="s">
        <v>35</v>
      </c>
      <c r="C69" t="s">
        <v>4996</v>
      </c>
      <c r="D69" t="s">
        <v>5097</v>
      </c>
    </row>
    <row r="70" spans="1:4">
      <c r="A70" t="s">
        <v>5098</v>
      </c>
      <c r="B70" t="s">
        <v>65</v>
      </c>
      <c r="C70" t="s">
        <v>5009</v>
      </c>
      <c r="D70" t="s">
        <v>5099</v>
      </c>
    </row>
    <row r="71" spans="1:4">
      <c r="A71" t="s">
        <v>5098</v>
      </c>
      <c r="B71" t="s">
        <v>65</v>
      </c>
      <c r="C71" t="s">
        <v>4996</v>
      </c>
      <c r="D71" t="s">
        <v>5100</v>
      </c>
    </row>
    <row r="72" spans="1:4">
      <c r="A72" t="s">
        <v>5098</v>
      </c>
      <c r="B72" t="s">
        <v>65</v>
      </c>
      <c r="C72" t="s">
        <v>5029</v>
      </c>
      <c r="D72" t="s">
        <v>5101</v>
      </c>
    </row>
    <row r="73" spans="1:4">
      <c r="A73" t="s">
        <v>5098</v>
      </c>
      <c r="B73" t="s">
        <v>65</v>
      </c>
      <c r="C73" t="s">
        <v>4998</v>
      </c>
      <c r="D73" t="s">
        <v>5102</v>
      </c>
    </row>
    <row r="74" spans="1:4">
      <c r="A74" t="s">
        <v>5098</v>
      </c>
      <c r="B74" t="s">
        <v>65</v>
      </c>
      <c r="C74" t="s">
        <v>5032</v>
      </c>
      <c r="D74" t="s">
        <v>5103</v>
      </c>
    </row>
    <row r="75" spans="1:4">
      <c r="A75" t="s">
        <v>5098</v>
      </c>
      <c r="B75" t="s">
        <v>65</v>
      </c>
      <c r="C75" t="s">
        <v>4213</v>
      </c>
      <c r="D75" t="s">
        <v>5104</v>
      </c>
    </row>
    <row r="76" spans="1:4">
      <c r="A76" t="s">
        <v>5098</v>
      </c>
      <c r="B76" t="s">
        <v>65</v>
      </c>
      <c r="C76" t="s">
        <v>5034</v>
      </c>
      <c r="D76" t="s">
        <v>5105</v>
      </c>
    </row>
    <row r="77" spans="1:4">
      <c r="A77" t="s">
        <v>5106</v>
      </c>
      <c r="B77" t="s">
        <v>331</v>
      </c>
      <c r="C77" t="s">
        <v>5029</v>
      </c>
      <c r="D77" t="s">
        <v>5107</v>
      </c>
    </row>
    <row r="78" spans="1:4">
      <c r="A78" t="s">
        <v>5106</v>
      </c>
      <c r="B78" t="s">
        <v>331</v>
      </c>
      <c r="C78" t="s">
        <v>4998</v>
      </c>
      <c r="D78" t="s">
        <v>5108</v>
      </c>
    </row>
    <row r="79" spans="1:4">
      <c r="A79" t="s">
        <v>5109</v>
      </c>
      <c r="B79" t="s">
        <v>39</v>
      </c>
      <c r="C79" t="s">
        <v>5009</v>
      </c>
      <c r="D79" t="s">
        <v>5110</v>
      </c>
    </row>
    <row r="80" spans="1:4">
      <c r="A80" t="s">
        <v>576</v>
      </c>
      <c r="B80" t="s">
        <v>777</v>
      </c>
      <c r="C80" t="s">
        <v>5000</v>
      </c>
      <c r="D80" t="s">
        <v>5111</v>
      </c>
    </row>
    <row r="81" spans="1:4">
      <c r="A81" t="s">
        <v>576</v>
      </c>
      <c r="B81" t="s">
        <v>777</v>
      </c>
      <c r="C81" t="s">
        <v>5009</v>
      </c>
      <c r="D81" t="s">
        <v>5112</v>
      </c>
    </row>
    <row r="82" spans="1:4">
      <c r="A82" t="s">
        <v>576</v>
      </c>
      <c r="B82" t="s">
        <v>777</v>
      </c>
      <c r="C82" t="s">
        <v>4996</v>
      </c>
      <c r="D82" t="s">
        <v>5113</v>
      </c>
    </row>
    <row r="83" spans="1:4">
      <c r="A83" t="s">
        <v>576</v>
      </c>
      <c r="B83" t="s">
        <v>777</v>
      </c>
      <c r="C83" t="s">
        <v>5029</v>
      </c>
      <c r="D83" t="s">
        <v>5114</v>
      </c>
    </row>
    <row r="84" spans="1:4">
      <c r="A84" t="s">
        <v>576</v>
      </c>
      <c r="B84" t="s">
        <v>777</v>
      </c>
      <c r="C84" t="s">
        <v>4998</v>
      </c>
      <c r="D84" t="s">
        <v>5115</v>
      </c>
    </row>
    <row r="85" spans="1:4">
      <c r="A85" t="s">
        <v>576</v>
      </c>
      <c r="B85" t="s">
        <v>777</v>
      </c>
      <c r="C85" t="s">
        <v>5032</v>
      </c>
      <c r="D85" t="s">
        <v>3507</v>
      </c>
    </row>
    <row r="86" spans="1:4">
      <c r="A86" t="s">
        <v>576</v>
      </c>
      <c r="B86" t="s">
        <v>777</v>
      </c>
      <c r="C86" t="s">
        <v>4289</v>
      </c>
      <c r="D86" t="s">
        <v>5116</v>
      </c>
    </row>
    <row r="87" spans="1:4">
      <c r="A87" t="s">
        <v>5117</v>
      </c>
      <c r="B87" t="s">
        <v>41</v>
      </c>
      <c r="C87" t="s">
        <v>5000</v>
      </c>
      <c r="D87" t="s">
        <v>5118</v>
      </c>
    </row>
    <row r="88" spans="1:4">
      <c r="A88" t="s">
        <v>5117</v>
      </c>
      <c r="B88" t="s">
        <v>41</v>
      </c>
      <c r="C88" t="s">
        <v>5009</v>
      </c>
      <c r="D88" t="s">
        <v>5119</v>
      </c>
    </row>
    <row r="89" spans="1:4">
      <c r="A89" t="s">
        <v>5117</v>
      </c>
      <c r="B89" t="s">
        <v>41</v>
      </c>
      <c r="C89" t="s">
        <v>4996</v>
      </c>
      <c r="D89" t="s">
        <v>5120</v>
      </c>
    </row>
    <row r="90" spans="1:4">
      <c r="A90" t="s">
        <v>5117</v>
      </c>
      <c r="B90" t="s">
        <v>41</v>
      </c>
      <c r="C90" t="s">
        <v>4998</v>
      </c>
      <c r="D90" t="s">
        <v>5121</v>
      </c>
    </row>
    <row r="91" spans="1:4">
      <c r="A91" t="s">
        <v>5117</v>
      </c>
      <c r="B91" t="s">
        <v>41</v>
      </c>
      <c r="C91" t="s">
        <v>5032</v>
      </c>
      <c r="D91" t="s">
        <v>5122</v>
      </c>
    </row>
    <row r="92" spans="1:4">
      <c r="A92" t="s">
        <v>4743</v>
      </c>
      <c r="B92" t="s">
        <v>47</v>
      </c>
      <c r="C92" t="s">
        <v>5123</v>
      </c>
      <c r="D92" t="s">
        <v>5124</v>
      </c>
    </row>
    <row r="93" spans="1:4">
      <c r="A93" t="s">
        <v>5125</v>
      </c>
      <c r="B93" t="s">
        <v>41</v>
      </c>
      <c r="C93" t="s">
        <v>4996</v>
      </c>
      <c r="D93" t="s">
        <v>5126</v>
      </c>
    </row>
    <row r="94" spans="1:4">
      <c r="A94" t="s">
        <v>5125</v>
      </c>
      <c r="B94" t="s">
        <v>41</v>
      </c>
      <c r="C94" t="s">
        <v>5032</v>
      </c>
      <c r="D94" t="s">
        <v>5127</v>
      </c>
    </row>
    <row r="95" spans="1:4">
      <c r="A95" t="s">
        <v>5128</v>
      </c>
      <c r="B95" t="s">
        <v>35</v>
      </c>
      <c r="C95" t="s">
        <v>5029</v>
      </c>
      <c r="D95" t="s">
        <v>5129</v>
      </c>
    </row>
    <row r="96" spans="1:4">
      <c r="A96" t="s">
        <v>4749</v>
      </c>
      <c r="B96" t="s">
        <v>95</v>
      </c>
      <c r="C96" t="s">
        <v>5130</v>
      </c>
      <c r="D96" t="s">
        <v>5131</v>
      </c>
    </row>
    <row r="97" spans="1:4">
      <c r="A97" t="s">
        <v>3865</v>
      </c>
      <c r="B97" t="s">
        <v>35</v>
      </c>
      <c r="C97" t="s">
        <v>5132</v>
      </c>
      <c r="D97" t="s">
        <v>5133</v>
      </c>
    </row>
    <row r="98" spans="1:4">
      <c r="A98" t="s">
        <v>3865</v>
      </c>
      <c r="B98" t="s">
        <v>35</v>
      </c>
      <c r="C98" t="s">
        <v>5134</v>
      </c>
      <c r="D98" t="s">
        <v>5135</v>
      </c>
    </row>
    <row r="99" spans="1:4">
      <c r="A99" t="s">
        <v>3868</v>
      </c>
      <c r="B99" t="s">
        <v>35</v>
      </c>
      <c r="C99" t="s">
        <v>5136</v>
      </c>
      <c r="D99" t="s">
        <v>5137</v>
      </c>
    </row>
    <row r="100" spans="1:4">
      <c r="A100" t="s">
        <v>5138</v>
      </c>
      <c r="B100" t="s">
        <v>35</v>
      </c>
      <c r="C100" t="s">
        <v>5029</v>
      </c>
      <c r="D100" t="s">
        <v>5139</v>
      </c>
    </row>
    <row r="101" spans="1:4">
      <c r="A101" t="s">
        <v>5138</v>
      </c>
      <c r="B101" t="s">
        <v>35</v>
      </c>
      <c r="C101" t="s">
        <v>4998</v>
      </c>
      <c r="D101" t="s">
        <v>5140</v>
      </c>
    </row>
    <row r="102" spans="1:4">
      <c r="A102" t="s">
        <v>4770</v>
      </c>
      <c r="B102" t="s">
        <v>47</v>
      </c>
      <c r="C102" t="s">
        <v>5009</v>
      </c>
      <c r="D102" t="s">
        <v>5141</v>
      </c>
    </row>
    <row r="103" spans="1:4">
      <c r="A103" t="s">
        <v>4216</v>
      </c>
      <c r="B103" t="s">
        <v>44</v>
      </c>
      <c r="C103" t="s">
        <v>4996</v>
      </c>
      <c r="D103" t="s">
        <v>5142</v>
      </c>
    </row>
    <row r="104" spans="1:4">
      <c r="A104" t="s">
        <v>4216</v>
      </c>
      <c r="B104" t="s">
        <v>44</v>
      </c>
      <c r="C104" t="s">
        <v>5029</v>
      </c>
      <c r="D104" t="s">
        <v>5143</v>
      </c>
    </row>
    <row r="105" spans="1:4">
      <c r="A105" t="s">
        <v>4216</v>
      </c>
      <c r="B105" t="s">
        <v>44</v>
      </c>
      <c r="C105" t="s">
        <v>4998</v>
      </c>
      <c r="D105" t="s">
        <v>5144</v>
      </c>
    </row>
    <row r="106" spans="1:4">
      <c r="A106" t="s">
        <v>3505</v>
      </c>
      <c r="B106" t="s">
        <v>5145</v>
      </c>
      <c r="C106" t="s">
        <v>5029</v>
      </c>
      <c r="D106" t="s">
        <v>5146</v>
      </c>
    </row>
    <row r="107" spans="1:4">
      <c r="A107" t="s">
        <v>3505</v>
      </c>
      <c r="B107" t="s">
        <v>80</v>
      </c>
      <c r="C107" t="s">
        <v>5032</v>
      </c>
      <c r="D107" t="s">
        <v>5147</v>
      </c>
    </row>
    <row r="108" spans="1:4">
      <c r="A108" t="s">
        <v>4520</v>
      </c>
      <c r="B108" t="s">
        <v>35</v>
      </c>
      <c r="C108" t="s">
        <v>5148</v>
      </c>
      <c r="D108" t="s">
        <v>5149</v>
      </c>
    </row>
    <row r="109" spans="1:4">
      <c r="A109" t="s">
        <v>3514</v>
      </c>
      <c r="B109" t="s">
        <v>331</v>
      </c>
      <c r="C109" t="s">
        <v>5009</v>
      </c>
      <c r="D109" t="s">
        <v>5150</v>
      </c>
    </row>
    <row r="110" spans="1:4">
      <c r="A110" t="s">
        <v>3514</v>
      </c>
      <c r="B110" t="s">
        <v>331</v>
      </c>
      <c r="C110" t="s">
        <v>5032</v>
      </c>
      <c r="D110" t="s">
        <v>5151</v>
      </c>
    </row>
    <row r="111" spans="1:4">
      <c r="A111" t="s">
        <v>5152</v>
      </c>
      <c r="B111" t="s">
        <v>80</v>
      </c>
      <c r="C111" t="s">
        <v>5009</v>
      </c>
      <c r="D111" t="s">
        <v>5153</v>
      </c>
    </row>
    <row r="112" spans="1:4">
      <c r="A112" t="s">
        <v>4787</v>
      </c>
      <c r="B112" t="s">
        <v>44</v>
      </c>
      <c r="C112" t="s">
        <v>4998</v>
      </c>
      <c r="D112" t="s">
        <v>5154</v>
      </c>
    </row>
    <row r="113" spans="1:4">
      <c r="A113" t="s">
        <v>4106</v>
      </c>
      <c r="B113" t="s">
        <v>44</v>
      </c>
      <c r="C113" t="s">
        <v>5155</v>
      </c>
      <c r="D113" t="s">
        <v>5156</v>
      </c>
    </row>
    <row r="114" spans="1:4">
      <c r="A114" t="s">
        <v>5157</v>
      </c>
      <c r="B114" t="s">
        <v>75</v>
      </c>
      <c r="C114" t="s">
        <v>5000</v>
      </c>
      <c r="D114" t="s">
        <v>5158</v>
      </c>
    </row>
    <row r="115" spans="1:4">
      <c r="A115" t="s">
        <v>3882</v>
      </c>
      <c r="B115" t="s">
        <v>39</v>
      </c>
      <c r="C115" t="s">
        <v>5032</v>
      </c>
      <c r="D115" t="s">
        <v>5159</v>
      </c>
    </row>
    <row r="116" spans="1:4">
      <c r="A116" t="s">
        <v>3882</v>
      </c>
      <c r="B116" t="s">
        <v>39</v>
      </c>
      <c r="C116" t="s">
        <v>4355</v>
      </c>
      <c r="D116" t="s">
        <v>5160</v>
      </c>
    </row>
    <row r="117" spans="1:4">
      <c r="A117" t="s">
        <v>3882</v>
      </c>
      <c r="B117" t="s">
        <v>39</v>
      </c>
      <c r="C117" t="s">
        <v>4353</v>
      </c>
      <c r="D117" t="s">
        <v>5161</v>
      </c>
    </row>
    <row r="118" spans="1:4">
      <c r="A118" t="s">
        <v>3882</v>
      </c>
      <c r="B118" t="s">
        <v>39</v>
      </c>
      <c r="C118" t="s">
        <v>4333</v>
      </c>
      <c r="D118" t="s">
        <v>5162</v>
      </c>
    </row>
    <row r="119" spans="1:4">
      <c r="A119" t="s">
        <v>5163</v>
      </c>
      <c r="B119" t="s">
        <v>39</v>
      </c>
      <c r="C119" t="s">
        <v>5000</v>
      </c>
      <c r="D119" t="s">
        <v>5164</v>
      </c>
    </row>
    <row r="120" spans="1:4">
      <c r="A120" t="s">
        <v>5163</v>
      </c>
      <c r="B120" t="s">
        <v>39</v>
      </c>
      <c r="C120" t="s">
        <v>5009</v>
      </c>
      <c r="D120" t="s">
        <v>5165</v>
      </c>
    </row>
    <row r="121" spans="1:4">
      <c r="A121" t="s">
        <v>5163</v>
      </c>
      <c r="B121" t="s">
        <v>39</v>
      </c>
      <c r="C121" t="s">
        <v>4996</v>
      </c>
      <c r="D121" t="s">
        <v>5166</v>
      </c>
    </row>
    <row r="122" spans="1:4">
      <c r="A122" t="s">
        <v>5163</v>
      </c>
      <c r="B122" t="s">
        <v>39</v>
      </c>
      <c r="C122" t="s">
        <v>5029</v>
      </c>
      <c r="D122" t="s">
        <v>5167</v>
      </c>
    </row>
    <row r="123" spans="1:4">
      <c r="A123" t="s">
        <v>5163</v>
      </c>
      <c r="B123" t="s">
        <v>39</v>
      </c>
      <c r="C123" t="s">
        <v>4998</v>
      </c>
      <c r="D123" t="s">
        <v>5168</v>
      </c>
    </row>
    <row r="124" spans="1:4">
      <c r="A124" t="s">
        <v>5169</v>
      </c>
      <c r="B124" t="s">
        <v>39</v>
      </c>
      <c r="C124" t="s">
        <v>4996</v>
      </c>
      <c r="D124" t="s">
        <v>5170</v>
      </c>
    </row>
    <row r="125" spans="1:4">
      <c r="A125" t="s">
        <v>5169</v>
      </c>
      <c r="B125" t="s">
        <v>39</v>
      </c>
      <c r="C125" t="s">
        <v>5029</v>
      </c>
      <c r="D125" t="s">
        <v>5171</v>
      </c>
    </row>
    <row r="126" spans="1:4">
      <c r="A126" t="s">
        <v>3890</v>
      </c>
      <c r="B126" t="s">
        <v>47</v>
      </c>
      <c r="C126" t="s">
        <v>4333</v>
      </c>
      <c r="D126" t="s">
        <v>5172</v>
      </c>
    </row>
    <row r="127" spans="1:4">
      <c r="A127" t="s">
        <v>5173</v>
      </c>
      <c r="B127" t="s">
        <v>640</v>
      </c>
      <c r="C127" t="s">
        <v>5029</v>
      </c>
      <c r="D127" t="s">
        <v>5174</v>
      </c>
    </row>
    <row r="128" spans="1:4">
      <c r="A128" t="s">
        <v>5175</v>
      </c>
      <c r="B128" t="s">
        <v>35</v>
      </c>
      <c r="C128" t="s">
        <v>4998</v>
      </c>
      <c r="D128" t="s">
        <v>5176</v>
      </c>
    </row>
    <row r="129" spans="1:4">
      <c r="A129" t="s">
        <v>5177</v>
      </c>
      <c r="B129" t="s">
        <v>39</v>
      </c>
      <c r="C129" t="s">
        <v>5009</v>
      </c>
      <c r="D129" t="s">
        <v>5178</v>
      </c>
    </row>
    <row r="130" spans="1:4">
      <c r="A130" t="s">
        <v>5179</v>
      </c>
      <c r="B130" t="s">
        <v>33</v>
      </c>
      <c r="C130" t="s">
        <v>5009</v>
      </c>
      <c r="D130" t="s">
        <v>5180</v>
      </c>
    </row>
    <row r="131" spans="1:4">
      <c r="A131" t="s">
        <v>3565</v>
      </c>
      <c r="B131" t="s">
        <v>39</v>
      </c>
      <c r="C131" t="s">
        <v>4333</v>
      </c>
      <c r="D131" t="s">
        <v>5181</v>
      </c>
    </row>
    <row r="132" spans="1:4">
      <c r="A132" t="s">
        <v>5182</v>
      </c>
      <c r="B132" t="s">
        <v>41</v>
      </c>
      <c r="C132" t="s">
        <v>4996</v>
      </c>
      <c r="D132" t="s">
        <v>5183</v>
      </c>
    </row>
    <row r="133" spans="1:4">
      <c r="A133" t="s">
        <v>5182</v>
      </c>
      <c r="B133" t="s">
        <v>41</v>
      </c>
      <c r="C133" t="s">
        <v>5029</v>
      </c>
      <c r="D133" t="s">
        <v>5184</v>
      </c>
    </row>
    <row r="134" spans="1:4">
      <c r="A134" t="s">
        <v>5185</v>
      </c>
      <c r="B134" t="s">
        <v>44</v>
      </c>
      <c r="C134" t="s">
        <v>4996</v>
      </c>
      <c r="D134" t="s">
        <v>5186</v>
      </c>
    </row>
    <row r="135" spans="1:4">
      <c r="A135" t="s">
        <v>5187</v>
      </c>
      <c r="B135" t="s">
        <v>47</v>
      </c>
      <c r="C135" t="s">
        <v>5130</v>
      </c>
      <c r="D135" t="s">
        <v>5188</v>
      </c>
    </row>
    <row r="136" spans="1:4">
      <c r="A136" t="s">
        <v>5189</v>
      </c>
      <c r="B136" t="s">
        <v>80</v>
      </c>
      <c r="C136" t="s">
        <v>5000</v>
      </c>
      <c r="D136" t="s">
        <v>5190</v>
      </c>
    </row>
    <row r="137" spans="1:4">
      <c r="A137" t="s">
        <v>5189</v>
      </c>
      <c r="B137" t="s">
        <v>80</v>
      </c>
      <c r="C137" t="s">
        <v>5009</v>
      </c>
      <c r="D137" t="s">
        <v>5191</v>
      </c>
    </row>
    <row r="138" spans="1:4">
      <c r="A138" t="s">
        <v>5189</v>
      </c>
      <c r="B138" t="s">
        <v>80</v>
      </c>
      <c r="C138" t="s">
        <v>4996</v>
      </c>
      <c r="D138" t="s">
        <v>5192</v>
      </c>
    </row>
    <row r="139" spans="1:4">
      <c r="A139" t="s">
        <v>5193</v>
      </c>
      <c r="B139" t="s">
        <v>39</v>
      </c>
      <c r="C139" t="s">
        <v>4996</v>
      </c>
      <c r="D139" t="s">
        <v>5194</v>
      </c>
    </row>
    <row r="140" spans="1:4">
      <c r="A140" t="s">
        <v>5195</v>
      </c>
      <c r="B140" t="s">
        <v>1294</v>
      </c>
      <c r="C140" t="s">
        <v>5000</v>
      </c>
      <c r="D140" t="s">
        <v>5196</v>
      </c>
    </row>
    <row r="141" spans="1:4">
      <c r="A141" t="s">
        <v>5195</v>
      </c>
      <c r="B141" t="s">
        <v>1294</v>
      </c>
      <c r="C141" t="s">
        <v>4996</v>
      </c>
      <c r="D141" t="s">
        <v>5197</v>
      </c>
    </row>
    <row r="142" spans="1:4">
      <c r="A142" t="s">
        <v>5198</v>
      </c>
      <c r="B142" t="s">
        <v>1294</v>
      </c>
      <c r="C142" t="s">
        <v>5009</v>
      </c>
      <c r="D142" t="s">
        <v>5199</v>
      </c>
    </row>
    <row r="143" spans="1:4">
      <c r="A143" t="s">
        <v>5198</v>
      </c>
      <c r="B143" t="s">
        <v>1294</v>
      </c>
      <c r="C143" t="s">
        <v>5032</v>
      </c>
      <c r="D143" t="s">
        <v>5200</v>
      </c>
    </row>
    <row r="144" spans="1:4">
      <c r="A144" t="s">
        <v>3576</v>
      </c>
      <c r="B144" t="s">
        <v>39</v>
      </c>
      <c r="C144" t="s">
        <v>4333</v>
      </c>
      <c r="D144" t="s">
        <v>5201</v>
      </c>
    </row>
    <row r="145" spans="1:4">
      <c r="A145" t="s">
        <v>3581</v>
      </c>
      <c r="B145" t="s">
        <v>44</v>
      </c>
      <c r="C145" t="s">
        <v>5032</v>
      </c>
      <c r="D145" t="s">
        <v>4821</v>
      </c>
    </row>
    <row r="146" spans="1:4">
      <c r="A146" t="s">
        <v>3581</v>
      </c>
      <c r="B146" t="s">
        <v>44</v>
      </c>
      <c r="C146" t="s">
        <v>5202</v>
      </c>
      <c r="D146" t="s">
        <v>5203</v>
      </c>
    </row>
    <row r="147" spans="1:4">
      <c r="A147" t="s">
        <v>5204</v>
      </c>
      <c r="B147" t="s">
        <v>95</v>
      </c>
      <c r="C147" t="s">
        <v>5032</v>
      </c>
      <c r="D147" t="s">
        <v>4821</v>
      </c>
    </row>
    <row r="148" spans="1:4">
      <c r="A148" t="s">
        <v>5205</v>
      </c>
      <c r="B148" t="s">
        <v>39</v>
      </c>
      <c r="C148" t="s">
        <v>5206</v>
      </c>
      <c r="D148" t="s">
        <v>5207</v>
      </c>
    </row>
    <row r="149" spans="1:4">
      <c r="A149" t="s">
        <v>5208</v>
      </c>
      <c r="B149" t="s">
        <v>35</v>
      </c>
      <c r="C149" t="s">
        <v>5000</v>
      </c>
      <c r="D149" t="s">
        <v>5209</v>
      </c>
    </row>
    <row r="150" spans="1:4">
      <c r="A150" t="s">
        <v>5208</v>
      </c>
      <c r="B150" t="s">
        <v>35</v>
      </c>
      <c r="C150" t="s">
        <v>4998</v>
      </c>
      <c r="D150" t="s">
        <v>5210</v>
      </c>
    </row>
    <row r="151" spans="1:4">
      <c r="A151" t="s">
        <v>5211</v>
      </c>
      <c r="B151" t="s">
        <v>47</v>
      </c>
      <c r="C151" t="s">
        <v>4996</v>
      </c>
      <c r="D151" t="s">
        <v>5212</v>
      </c>
    </row>
    <row r="152" spans="1:4">
      <c r="A152" t="s">
        <v>5211</v>
      </c>
      <c r="B152" t="s">
        <v>47</v>
      </c>
      <c r="C152" t="s">
        <v>5032</v>
      </c>
      <c r="D152" t="s">
        <v>5213</v>
      </c>
    </row>
    <row r="153" spans="1:4">
      <c r="A153" t="s">
        <v>4982</v>
      </c>
      <c r="B153" t="s">
        <v>44</v>
      </c>
      <c r="C153" t="s">
        <v>4333</v>
      </c>
      <c r="D153" t="s">
        <v>5214</v>
      </c>
    </row>
    <row r="154" spans="1:4">
      <c r="A154" t="s">
        <v>5215</v>
      </c>
      <c r="B154" t="s">
        <v>35</v>
      </c>
      <c r="C154" t="s">
        <v>4996</v>
      </c>
      <c r="D154" t="s">
        <v>5216</v>
      </c>
    </row>
    <row r="155" spans="1:4">
      <c r="A155" t="s">
        <v>5217</v>
      </c>
      <c r="B155" t="s">
        <v>39</v>
      </c>
      <c r="C155" t="s">
        <v>5009</v>
      </c>
      <c r="D155" t="s">
        <v>5218</v>
      </c>
    </row>
    <row r="156" spans="1:4">
      <c r="A156" t="s">
        <v>5219</v>
      </c>
      <c r="B156" t="s">
        <v>75</v>
      </c>
      <c r="C156" t="s">
        <v>5000</v>
      </c>
      <c r="D156" t="s">
        <v>5220</v>
      </c>
    </row>
    <row r="157" spans="1:4">
      <c r="A157" t="s">
        <v>5219</v>
      </c>
      <c r="B157" t="s">
        <v>75</v>
      </c>
      <c r="C157" t="s">
        <v>5009</v>
      </c>
      <c r="D157" t="s">
        <v>5221</v>
      </c>
    </row>
    <row r="158" spans="1:4">
      <c r="A158" t="s">
        <v>5219</v>
      </c>
      <c r="B158" t="s">
        <v>75</v>
      </c>
      <c r="C158" t="s">
        <v>5029</v>
      </c>
      <c r="D158" t="s">
        <v>5222</v>
      </c>
    </row>
    <row r="159" spans="1:4">
      <c r="A159" t="s">
        <v>5219</v>
      </c>
      <c r="B159" t="s">
        <v>75</v>
      </c>
      <c r="C159" t="s">
        <v>4998</v>
      </c>
      <c r="D159" t="s">
        <v>5223</v>
      </c>
    </row>
    <row r="160" spans="1:4">
      <c r="A160" t="s">
        <v>5224</v>
      </c>
      <c r="B160" t="s">
        <v>39</v>
      </c>
      <c r="C160" t="s">
        <v>5009</v>
      </c>
      <c r="D160" t="s">
        <v>5225</v>
      </c>
    </row>
    <row r="161" spans="1:4">
      <c r="A161" t="s">
        <v>4570</v>
      </c>
      <c r="B161" t="s">
        <v>331</v>
      </c>
      <c r="C161" t="s">
        <v>5000</v>
      </c>
      <c r="D161" t="s">
        <v>3960</v>
      </c>
    </row>
    <row r="162" spans="1:4">
      <c r="A162" t="s">
        <v>4570</v>
      </c>
      <c r="B162" t="s">
        <v>331</v>
      </c>
      <c r="C162" t="s">
        <v>5009</v>
      </c>
      <c r="D162" t="s">
        <v>5226</v>
      </c>
    </row>
    <row r="163" spans="1:4">
      <c r="A163" t="s">
        <v>4570</v>
      </c>
      <c r="B163" t="s">
        <v>331</v>
      </c>
      <c r="C163" t="s">
        <v>4998</v>
      </c>
      <c r="D163" t="s">
        <v>4387</v>
      </c>
    </row>
    <row r="164" spans="1:4">
      <c r="A164" t="s">
        <v>5227</v>
      </c>
      <c r="B164" t="s">
        <v>47</v>
      </c>
      <c r="C164" t="s">
        <v>5009</v>
      </c>
      <c r="D164" t="s">
        <v>5228</v>
      </c>
    </row>
    <row r="165" spans="1:4">
      <c r="A165" t="s">
        <v>5227</v>
      </c>
      <c r="B165" t="s">
        <v>47</v>
      </c>
      <c r="C165" t="s">
        <v>5032</v>
      </c>
      <c r="D165" t="s">
        <v>5229</v>
      </c>
    </row>
    <row r="166" spans="1:4">
      <c r="A166" t="s">
        <v>3603</v>
      </c>
      <c r="B166" t="s">
        <v>39</v>
      </c>
      <c r="C166" t="s">
        <v>5000</v>
      </c>
      <c r="D166" t="s">
        <v>5230</v>
      </c>
    </row>
    <row r="167" spans="1:4">
      <c r="A167" t="s">
        <v>3603</v>
      </c>
      <c r="B167" t="s">
        <v>39</v>
      </c>
      <c r="C167" t="s">
        <v>5231</v>
      </c>
      <c r="D167" t="s">
        <v>5232</v>
      </c>
    </row>
    <row r="168" spans="1:4">
      <c r="A168" t="s">
        <v>5233</v>
      </c>
      <c r="B168" t="s">
        <v>44</v>
      </c>
      <c r="C168" t="s">
        <v>5000</v>
      </c>
      <c r="D168" t="s">
        <v>5234</v>
      </c>
    </row>
    <row r="169" spans="1:4">
      <c r="A169" t="s">
        <v>5233</v>
      </c>
      <c r="B169" t="s">
        <v>44</v>
      </c>
      <c r="C169" t="s">
        <v>5009</v>
      </c>
      <c r="D169" t="s">
        <v>5235</v>
      </c>
    </row>
    <row r="170" spans="1:4">
      <c r="A170" t="s">
        <v>5233</v>
      </c>
      <c r="B170" t="s">
        <v>44</v>
      </c>
      <c r="C170" t="s">
        <v>5029</v>
      </c>
      <c r="D170" t="s">
        <v>5236</v>
      </c>
    </row>
    <row r="171" spans="1:4">
      <c r="A171" t="s">
        <v>4835</v>
      </c>
      <c r="B171" t="s">
        <v>331</v>
      </c>
      <c r="C171" t="s">
        <v>4836</v>
      </c>
      <c r="D171" t="s">
        <v>4429</v>
      </c>
    </row>
    <row r="172" spans="1:4">
      <c r="A172" t="s">
        <v>5237</v>
      </c>
      <c r="B172" t="s">
        <v>640</v>
      </c>
      <c r="C172" t="s">
        <v>5009</v>
      </c>
      <c r="D172" t="s">
        <v>5238</v>
      </c>
    </row>
    <row r="173" spans="1:4">
      <c r="A173" t="s">
        <v>5239</v>
      </c>
      <c r="B173" t="s">
        <v>80</v>
      </c>
      <c r="C173" t="s">
        <v>5009</v>
      </c>
      <c r="D173" t="s">
        <v>5240</v>
      </c>
    </row>
    <row r="174" spans="1:4">
      <c r="A174" t="s">
        <v>5241</v>
      </c>
      <c r="B174" t="s">
        <v>47</v>
      </c>
      <c r="C174" t="s">
        <v>5029</v>
      </c>
      <c r="D174" t="s">
        <v>4387</v>
      </c>
    </row>
    <row r="175" spans="1:4">
      <c r="A175" t="s">
        <v>5242</v>
      </c>
      <c r="B175" t="s">
        <v>157</v>
      </c>
      <c r="C175" t="s">
        <v>4998</v>
      </c>
      <c r="D175" t="s">
        <v>5243</v>
      </c>
    </row>
    <row r="176" spans="1:4">
      <c r="A176" t="s">
        <v>4410</v>
      </c>
      <c r="B176" t="s">
        <v>44</v>
      </c>
      <c r="C176" t="s">
        <v>5009</v>
      </c>
      <c r="D176" t="s">
        <v>5244</v>
      </c>
    </row>
    <row r="177" spans="1:4">
      <c r="A177" t="s">
        <v>5245</v>
      </c>
      <c r="B177" t="s">
        <v>47</v>
      </c>
      <c r="C177" t="s">
        <v>4996</v>
      </c>
      <c r="D177" t="s">
        <v>5246</v>
      </c>
    </row>
    <row r="178" spans="1:4">
      <c r="A178" t="s">
        <v>5247</v>
      </c>
      <c r="B178" t="s">
        <v>39</v>
      </c>
      <c r="C178" t="s">
        <v>5000</v>
      </c>
      <c r="D178" t="s">
        <v>5248</v>
      </c>
    </row>
    <row r="179" spans="1:4">
      <c r="A179" t="s">
        <v>5247</v>
      </c>
      <c r="B179" t="s">
        <v>39</v>
      </c>
      <c r="C179" t="s">
        <v>5009</v>
      </c>
      <c r="D179" t="s">
        <v>5249</v>
      </c>
    </row>
    <row r="180" spans="1:4">
      <c r="A180" t="s">
        <v>5247</v>
      </c>
      <c r="B180" t="s">
        <v>39</v>
      </c>
      <c r="C180" t="s">
        <v>4996</v>
      </c>
      <c r="D180" t="s">
        <v>5250</v>
      </c>
    </row>
    <row r="181" spans="1:4">
      <c r="A181" t="s">
        <v>5247</v>
      </c>
      <c r="B181" t="s">
        <v>39</v>
      </c>
      <c r="C181" t="s">
        <v>5032</v>
      </c>
      <c r="D181" t="s">
        <v>5251</v>
      </c>
    </row>
    <row r="182" spans="1:4">
      <c r="A182" t="s">
        <v>5252</v>
      </c>
      <c r="B182" t="s">
        <v>44</v>
      </c>
      <c r="C182" t="s">
        <v>5029</v>
      </c>
      <c r="D182" t="s">
        <v>5253</v>
      </c>
    </row>
    <row r="183" spans="1:4">
      <c r="A183" t="s">
        <v>5254</v>
      </c>
      <c r="B183" t="s">
        <v>47</v>
      </c>
      <c r="C183" t="s">
        <v>5029</v>
      </c>
      <c r="D183" t="s">
        <v>5255</v>
      </c>
    </row>
    <row r="184" spans="1:4">
      <c r="A184" t="s">
        <v>3906</v>
      </c>
      <c r="B184" t="s">
        <v>39</v>
      </c>
      <c r="C184" t="s">
        <v>5256</v>
      </c>
      <c r="D184" t="s">
        <v>5257</v>
      </c>
    </row>
    <row r="185" spans="1:4">
      <c r="A185" t="s">
        <v>3906</v>
      </c>
      <c r="B185" t="s">
        <v>39</v>
      </c>
      <c r="C185" t="s">
        <v>4213</v>
      </c>
      <c r="D185" t="s">
        <v>5258</v>
      </c>
    </row>
    <row r="186" spans="1:4">
      <c r="A186" t="s">
        <v>3906</v>
      </c>
      <c r="B186" t="s">
        <v>39</v>
      </c>
      <c r="C186" t="s">
        <v>5034</v>
      </c>
      <c r="D186" t="s">
        <v>5259</v>
      </c>
    </row>
    <row r="187" spans="1:4">
      <c r="A187" t="s">
        <v>4262</v>
      </c>
      <c r="B187" t="s">
        <v>41</v>
      </c>
      <c r="C187" t="s">
        <v>4852</v>
      </c>
      <c r="D187" t="s">
        <v>5260</v>
      </c>
    </row>
    <row r="188" spans="1:4">
      <c r="A188" t="s">
        <v>5261</v>
      </c>
      <c r="B188" t="s">
        <v>158</v>
      </c>
      <c r="C188" t="s">
        <v>4996</v>
      </c>
      <c r="D188" t="s">
        <v>5262</v>
      </c>
    </row>
    <row r="189" spans="1:4">
      <c r="A189" t="s">
        <v>5261</v>
      </c>
      <c r="B189" t="s">
        <v>158</v>
      </c>
      <c r="C189" t="s">
        <v>4998</v>
      </c>
      <c r="D189" t="s">
        <v>5263</v>
      </c>
    </row>
    <row r="190" spans="1:4">
      <c r="A190" t="s">
        <v>5261</v>
      </c>
      <c r="B190" t="s">
        <v>158</v>
      </c>
      <c r="C190" t="s">
        <v>5032</v>
      </c>
      <c r="D190" t="s">
        <v>5264</v>
      </c>
    </row>
    <row r="191" spans="1:4">
      <c r="A191" t="s">
        <v>3626</v>
      </c>
      <c r="B191" t="s">
        <v>158</v>
      </c>
      <c r="C191" t="s">
        <v>3913</v>
      </c>
      <c r="D191" t="s">
        <v>5265</v>
      </c>
    </row>
    <row r="192" spans="1:4">
      <c r="A192" t="s">
        <v>5266</v>
      </c>
      <c r="B192" t="s">
        <v>39</v>
      </c>
      <c r="C192" t="s">
        <v>5009</v>
      </c>
      <c r="D192" t="s">
        <v>5267</v>
      </c>
    </row>
    <row r="193" spans="1:4">
      <c r="A193" t="s">
        <v>3636</v>
      </c>
      <c r="B193" t="s">
        <v>35</v>
      </c>
      <c r="C193" t="s">
        <v>4998</v>
      </c>
      <c r="D193" t="s">
        <v>5268</v>
      </c>
    </row>
    <row r="194" spans="1:4">
      <c r="A194" t="s">
        <v>3636</v>
      </c>
      <c r="B194" t="s">
        <v>35</v>
      </c>
      <c r="C194" t="s">
        <v>5032</v>
      </c>
      <c r="D194" t="s">
        <v>5269</v>
      </c>
    </row>
    <row r="195" spans="1:4">
      <c r="A195" t="s">
        <v>3918</v>
      </c>
      <c r="B195" t="s">
        <v>47</v>
      </c>
      <c r="C195" t="s">
        <v>5000</v>
      </c>
      <c r="D195" t="s">
        <v>5270</v>
      </c>
    </row>
    <row r="196" spans="1:4">
      <c r="A196" t="s">
        <v>3918</v>
      </c>
      <c r="B196" t="s">
        <v>47</v>
      </c>
      <c r="C196" t="s">
        <v>5009</v>
      </c>
      <c r="D196" t="s">
        <v>5271</v>
      </c>
    </row>
    <row r="197" spans="1:4">
      <c r="A197" t="s">
        <v>3918</v>
      </c>
      <c r="B197" t="s">
        <v>47</v>
      </c>
      <c r="C197" t="s">
        <v>5032</v>
      </c>
      <c r="D197" t="s">
        <v>5272</v>
      </c>
    </row>
    <row r="198" spans="1:4">
      <c r="A198" t="s">
        <v>3918</v>
      </c>
      <c r="B198" t="s">
        <v>47</v>
      </c>
      <c r="C198" t="s">
        <v>5021</v>
      </c>
      <c r="D198" t="s">
        <v>5273</v>
      </c>
    </row>
    <row r="199" spans="1:4">
      <c r="A199" t="s">
        <v>3918</v>
      </c>
      <c r="B199" t="s">
        <v>47</v>
      </c>
      <c r="C199" t="s">
        <v>5256</v>
      </c>
      <c r="D199" t="s">
        <v>5274</v>
      </c>
    </row>
    <row r="200" spans="1:4">
      <c r="A200" t="s">
        <v>4271</v>
      </c>
      <c r="B200" t="s">
        <v>65</v>
      </c>
      <c r="C200" t="s">
        <v>5275</v>
      </c>
      <c r="D200" t="s">
        <v>5160</v>
      </c>
    </row>
    <row r="201" spans="1:4">
      <c r="A201" t="s">
        <v>5276</v>
      </c>
      <c r="B201" t="s">
        <v>777</v>
      </c>
      <c r="C201" t="s">
        <v>5009</v>
      </c>
      <c r="D201" t="s">
        <v>5277</v>
      </c>
    </row>
    <row r="202" spans="1:4">
      <c r="A202" t="s">
        <v>5278</v>
      </c>
      <c r="B202" t="s">
        <v>113</v>
      </c>
      <c r="C202" t="s">
        <v>4996</v>
      </c>
      <c r="D202" t="s">
        <v>5279</v>
      </c>
    </row>
    <row r="203" spans="1:4">
      <c r="A203" t="s">
        <v>5280</v>
      </c>
      <c r="B203" t="s">
        <v>35</v>
      </c>
      <c r="C203" t="s">
        <v>4996</v>
      </c>
      <c r="D203" t="s">
        <v>5281</v>
      </c>
    </row>
    <row r="204" spans="1:4">
      <c r="A204" t="s">
        <v>5280</v>
      </c>
      <c r="B204" t="s">
        <v>35</v>
      </c>
      <c r="C204" t="s">
        <v>4998</v>
      </c>
      <c r="D204" t="s">
        <v>5282</v>
      </c>
    </row>
    <row r="205" spans="1:4">
      <c r="A205" t="s">
        <v>5283</v>
      </c>
      <c r="B205" t="s">
        <v>35</v>
      </c>
      <c r="C205" t="s">
        <v>4996</v>
      </c>
      <c r="D205" t="s">
        <v>5284</v>
      </c>
    </row>
    <row r="206" spans="1:4">
      <c r="A206" t="s">
        <v>4864</v>
      </c>
      <c r="B206" t="s">
        <v>61</v>
      </c>
      <c r="C206" t="s">
        <v>4211</v>
      </c>
      <c r="D206" t="s">
        <v>5285</v>
      </c>
    </row>
    <row r="207" spans="1:4">
      <c r="A207" t="s">
        <v>5286</v>
      </c>
      <c r="B207" t="s">
        <v>35</v>
      </c>
      <c r="C207" t="s">
        <v>4998</v>
      </c>
      <c r="D207" t="s">
        <v>5287</v>
      </c>
    </row>
    <row r="208" spans="1:4">
      <c r="A208" t="s">
        <v>5288</v>
      </c>
      <c r="B208" t="s">
        <v>47</v>
      </c>
      <c r="C208" t="s">
        <v>4996</v>
      </c>
      <c r="D208" t="s">
        <v>5289</v>
      </c>
    </row>
    <row r="209" spans="1:4">
      <c r="A209" t="s">
        <v>5290</v>
      </c>
      <c r="B209" t="s">
        <v>35</v>
      </c>
      <c r="C209" t="s">
        <v>4998</v>
      </c>
      <c r="D209" t="s">
        <v>5291</v>
      </c>
    </row>
    <row r="210" spans="1:4">
      <c r="A210" t="s">
        <v>5292</v>
      </c>
      <c r="B210" t="s">
        <v>35</v>
      </c>
      <c r="C210" t="s">
        <v>5029</v>
      </c>
      <c r="D210" t="s">
        <v>5293</v>
      </c>
    </row>
    <row r="211" spans="1:4">
      <c r="A211" t="s">
        <v>5294</v>
      </c>
      <c r="B211" t="s">
        <v>156</v>
      </c>
      <c r="C211" t="s">
        <v>5000</v>
      </c>
      <c r="D211" t="s">
        <v>5295</v>
      </c>
    </row>
    <row r="212" spans="1:4">
      <c r="A212" t="s">
        <v>3647</v>
      </c>
      <c r="B212" t="s">
        <v>39</v>
      </c>
      <c r="C212" t="s">
        <v>5000</v>
      </c>
      <c r="D212" t="s">
        <v>5296</v>
      </c>
    </row>
    <row r="213" spans="1:4">
      <c r="A213" t="s">
        <v>3647</v>
      </c>
      <c r="B213" t="s">
        <v>39</v>
      </c>
      <c r="C213" t="s">
        <v>4996</v>
      </c>
      <c r="D213" t="s">
        <v>5297</v>
      </c>
    </row>
    <row r="214" spans="1:4">
      <c r="A214" t="s">
        <v>3647</v>
      </c>
      <c r="B214" t="s">
        <v>39</v>
      </c>
      <c r="C214" t="s">
        <v>5032</v>
      </c>
      <c r="D214" t="s">
        <v>5298</v>
      </c>
    </row>
    <row r="215" spans="1:4">
      <c r="A215" t="s">
        <v>5299</v>
      </c>
      <c r="B215" t="s">
        <v>1294</v>
      </c>
      <c r="C215" t="s">
        <v>4996</v>
      </c>
      <c r="D215" t="s">
        <v>5300</v>
      </c>
    </row>
    <row r="216" spans="1:4">
      <c r="A216" t="s">
        <v>5301</v>
      </c>
      <c r="B216" t="s">
        <v>640</v>
      </c>
      <c r="C216" t="s">
        <v>5009</v>
      </c>
      <c r="D216" t="s">
        <v>5302</v>
      </c>
    </row>
    <row r="217" spans="1:4">
      <c r="A217" t="s">
        <v>5303</v>
      </c>
      <c r="B217" t="s">
        <v>47</v>
      </c>
      <c r="C217" t="s">
        <v>5009</v>
      </c>
      <c r="D217" t="s">
        <v>5304</v>
      </c>
    </row>
    <row r="218" spans="1:4">
      <c r="A218" t="s">
        <v>5305</v>
      </c>
      <c r="B218" t="s">
        <v>777</v>
      </c>
      <c r="C218" t="s">
        <v>5000</v>
      </c>
      <c r="D218" t="s">
        <v>5306</v>
      </c>
    </row>
    <row r="219" spans="1:4">
      <c r="A219" t="s">
        <v>5305</v>
      </c>
      <c r="B219" t="s">
        <v>777</v>
      </c>
      <c r="C219" t="s">
        <v>4996</v>
      </c>
      <c r="D219" t="s">
        <v>5307</v>
      </c>
    </row>
    <row r="220" spans="1:4">
      <c r="A220" t="s">
        <v>5305</v>
      </c>
      <c r="B220" t="s">
        <v>777</v>
      </c>
      <c r="C220" t="s">
        <v>5032</v>
      </c>
      <c r="D220" t="s">
        <v>5308</v>
      </c>
    </row>
    <row r="221" spans="1:4">
      <c r="A221" t="s">
        <v>3940</v>
      </c>
      <c r="B221" t="s">
        <v>39</v>
      </c>
      <c r="C221" t="s">
        <v>5000</v>
      </c>
      <c r="D221" t="s">
        <v>5309</v>
      </c>
    </row>
    <row r="222" spans="1:4">
      <c r="A222" t="s">
        <v>3940</v>
      </c>
      <c r="B222" t="s">
        <v>39</v>
      </c>
      <c r="C222" t="s">
        <v>4996</v>
      </c>
      <c r="D222" t="s">
        <v>5310</v>
      </c>
    </row>
    <row r="223" spans="1:4">
      <c r="A223" t="s">
        <v>5311</v>
      </c>
      <c r="B223" t="s">
        <v>33</v>
      </c>
      <c r="C223" t="s">
        <v>4996</v>
      </c>
      <c r="D223" t="s">
        <v>5312</v>
      </c>
    </row>
    <row r="224" spans="1:4">
      <c r="A224" t="s">
        <v>5313</v>
      </c>
      <c r="B224" t="s">
        <v>39</v>
      </c>
      <c r="C224" t="s">
        <v>4996</v>
      </c>
      <c r="D224" t="s">
        <v>5314</v>
      </c>
    </row>
    <row r="225" spans="1:4">
      <c r="A225" t="s">
        <v>5315</v>
      </c>
      <c r="B225" t="s">
        <v>47</v>
      </c>
      <c r="C225" t="s">
        <v>4996</v>
      </c>
      <c r="D225" t="s">
        <v>5316</v>
      </c>
    </row>
    <row r="226" spans="1:4">
      <c r="A226" t="s">
        <v>4880</v>
      </c>
      <c r="B226" t="s">
        <v>39</v>
      </c>
      <c r="C226" t="s">
        <v>5000</v>
      </c>
      <c r="D226" t="s">
        <v>5317</v>
      </c>
    </row>
    <row r="227" spans="1:4">
      <c r="A227" t="s">
        <v>4880</v>
      </c>
      <c r="B227" t="s">
        <v>39</v>
      </c>
      <c r="C227" t="s">
        <v>4998</v>
      </c>
      <c r="D227" t="s">
        <v>5318</v>
      </c>
    </row>
    <row r="228" spans="1:4">
      <c r="A228" t="s">
        <v>5319</v>
      </c>
      <c r="B228" t="s">
        <v>95</v>
      </c>
      <c r="C228" t="s">
        <v>5032</v>
      </c>
      <c r="D228" t="s">
        <v>4387</v>
      </c>
    </row>
    <row r="229" spans="1:4">
      <c r="A229" t="s">
        <v>4281</v>
      </c>
      <c r="B229" t="s">
        <v>39</v>
      </c>
      <c r="C229" t="s">
        <v>4211</v>
      </c>
      <c r="D229" t="s">
        <v>5320</v>
      </c>
    </row>
    <row r="230" spans="1:4">
      <c r="A230" t="s">
        <v>5321</v>
      </c>
      <c r="B230" t="s">
        <v>39</v>
      </c>
      <c r="C230" t="s">
        <v>4996</v>
      </c>
      <c r="D230" t="s">
        <v>5322</v>
      </c>
    </row>
    <row r="231" spans="1:4">
      <c r="A231" t="s">
        <v>5323</v>
      </c>
      <c r="B231" t="s">
        <v>35</v>
      </c>
      <c r="C231" t="s">
        <v>4428</v>
      </c>
      <c r="D231" t="s">
        <v>5324</v>
      </c>
    </row>
    <row r="232" spans="1:4">
      <c r="A232" t="s">
        <v>3945</v>
      </c>
      <c r="B232" t="s">
        <v>41</v>
      </c>
      <c r="C232" t="s">
        <v>4610</v>
      </c>
      <c r="D232" t="s">
        <v>5325</v>
      </c>
    </row>
    <row r="233" spans="1:4">
      <c r="A233" t="s">
        <v>4617</v>
      </c>
      <c r="B233" t="s">
        <v>47</v>
      </c>
      <c r="C233" t="s">
        <v>5326</v>
      </c>
      <c r="D233" t="s">
        <v>5327</v>
      </c>
    </row>
    <row r="234" spans="1:4">
      <c r="A234" t="s">
        <v>4617</v>
      </c>
      <c r="B234" t="s">
        <v>47</v>
      </c>
      <c r="C234" t="s">
        <v>5326</v>
      </c>
      <c r="D234" t="s">
        <v>5328</v>
      </c>
    </row>
    <row r="235" spans="1:4">
      <c r="A235" t="s">
        <v>3664</v>
      </c>
      <c r="B235" t="s">
        <v>39</v>
      </c>
      <c r="C235" t="s">
        <v>5000</v>
      </c>
      <c r="D235" t="s">
        <v>5329</v>
      </c>
    </row>
    <row r="236" spans="1:4">
      <c r="A236" t="s">
        <v>3664</v>
      </c>
      <c r="B236" t="s">
        <v>39</v>
      </c>
      <c r="C236" t="s">
        <v>4996</v>
      </c>
      <c r="D236" t="s">
        <v>5330</v>
      </c>
    </row>
    <row r="237" spans="1:4">
      <c r="A237" t="s">
        <v>3664</v>
      </c>
      <c r="B237" t="s">
        <v>39</v>
      </c>
      <c r="C237" t="s">
        <v>5029</v>
      </c>
      <c r="D237" t="s">
        <v>5331</v>
      </c>
    </row>
    <row r="238" spans="1:4">
      <c r="A238" t="s">
        <v>3664</v>
      </c>
      <c r="B238" t="s">
        <v>39</v>
      </c>
      <c r="C238" t="s">
        <v>4998</v>
      </c>
      <c r="D238" t="s">
        <v>5332</v>
      </c>
    </row>
    <row r="239" spans="1:4">
      <c r="A239" t="s">
        <v>5333</v>
      </c>
      <c r="B239" t="s">
        <v>136</v>
      </c>
      <c r="C239" t="s">
        <v>5029</v>
      </c>
      <c r="D239" t="s">
        <v>3654</v>
      </c>
    </row>
    <row r="240" spans="1:4">
      <c r="A240" t="s">
        <v>5334</v>
      </c>
      <c r="B240" t="s">
        <v>47</v>
      </c>
      <c r="C240" t="s">
        <v>5032</v>
      </c>
      <c r="D240" t="s">
        <v>5335</v>
      </c>
    </row>
    <row r="241" spans="1:4">
      <c r="A241" t="s">
        <v>5336</v>
      </c>
      <c r="B241" t="s">
        <v>1294</v>
      </c>
      <c r="C241" t="s">
        <v>5032</v>
      </c>
      <c r="D241" t="s">
        <v>5337</v>
      </c>
    </row>
    <row r="242" spans="1:4">
      <c r="A242" t="s">
        <v>5338</v>
      </c>
      <c r="B242" t="s">
        <v>35</v>
      </c>
      <c r="C242" t="s">
        <v>4998</v>
      </c>
      <c r="D242" t="s">
        <v>5339</v>
      </c>
    </row>
    <row r="243" spans="1:4">
      <c r="A243" t="s">
        <v>5340</v>
      </c>
      <c r="B243" t="s">
        <v>35</v>
      </c>
      <c r="C243" t="s">
        <v>5009</v>
      </c>
      <c r="D243" t="s">
        <v>5341</v>
      </c>
    </row>
    <row r="244" spans="1:4">
      <c r="A244" t="s">
        <v>5340</v>
      </c>
      <c r="B244" t="s">
        <v>35</v>
      </c>
      <c r="C244" t="s">
        <v>4996</v>
      </c>
      <c r="D244" t="s">
        <v>5342</v>
      </c>
    </row>
    <row r="245" spans="1:4">
      <c r="A245" t="s">
        <v>5340</v>
      </c>
      <c r="B245" t="s">
        <v>35</v>
      </c>
      <c r="C245" t="s">
        <v>5029</v>
      </c>
      <c r="D245" t="s">
        <v>5343</v>
      </c>
    </row>
    <row r="246" spans="1:4">
      <c r="A246" t="s">
        <v>5340</v>
      </c>
      <c r="B246" t="s">
        <v>35</v>
      </c>
      <c r="C246" t="s">
        <v>5032</v>
      </c>
      <c r="D246" t="s">
        <v>5344</v>
      </c>
    </row>
    <row r="247" spans="1:4">
      <c r="A247" t="s">
        <v>5345</v>
      </c>
      <c r="B247" t="s">
        <v>41</v>
      </c>
      <c r="C247" t="s">
        <v>5029</v>
      </c>
      <c r="D247" t="s">
        <v>5346</v>
      </c>
    </row>
    <row r="248" spans="1:4">
      <c r="A248" t="s">
        <v>5347</v>
      </c>
      <c r="B248" t="s">
        <v>47</v>
      </c>
      <c r="C248" t="s">
        <v>5009</v>
      </c>
      <c r="D248" t="s">
        <v>5348</v>
      </c>
    </row>
    <row r="249" spans="1:4">
      <c r="A249" t="s">
        <v>5349</v>
      </c>
      <c r="B249" t="s">
        <v>95</v>
      </c>
      <c r="C249" t="s">
        <v>5000</v>
      </c>
      <c r="D249" t="s">
        <v>5350</v>
      </c>
    </row>
    <row r="250" spans="1:4">
      <c r="A250" t="s">
        <v>4626</v>
      </c>
      <c r="B250" t="s">
        <v>44</v>
      </c>
      <c r="C250" t="s">
        <v>5000</v>
      </c>
      <c r="D250" t="s">
        <v>5351</v>
      </c>
    </row>
    <row r="251" spans="1:4">
      <c r="A251" t="s">
        <v>4626</v>
      </c>
      <c r="B251" t="s">
        <v>44</v>
      </c>
      <c r="C251" t="s">
        <v>4998</v>
      </c>
      <c r="D251" t="s">
        <v>5352</v>
      </c>
    </row>
    <row r="252" spans="1:4">
      <c r="A252" t="s">
        <v>5353</v>
      </c>
      <c r="B252" t="s">
        <v>44</v>
      </c>
      <c r="C252" t="s">
        <v>5009</v>
      </c>
      <c r="D252" t="s">
        <v>5354</v>
      </c>
    </row>
    <row r="253" spans="1:4">
      <c r="A253" t="s">
        <v>5353</v>
      </c>
      <c r="B253" t="s">
        <v>44</v>
      </c>
      <c r="C253" t="s">
        <v>5029</v>
      </c>
      <c r="D253" t="s">
        <v>5355</v>
      </c>
    </row>
    <row r="254" spans="1:4">
      <c r="A254" t="s">
        <v>5353</v>
      </c>
      <c r="B254" t="s">
        <v>44</v>
      </c>
      <c r="C254" t="s">
        <v>4998</v>
      </c>
      <c r="D254" t="s">
        <v>5356</v>
      </c>
    </row>
    <row r="255" spans="1:4">
      <c r="A255" t="s">
        <v>4158</v>
      </c>
      <c r="B255" t="s">
        <v>47</v>
      </c>
      <c r="C255" t="s">
        <v>5087</v>
      </c>
      <c r="D255" t="s">
        <v>5357</v>
      </c>
    </row>
    <row r="256" spans="1:4">
      <c r="A256" t="s">
        <v>4158</v>
      </c>
      <c r="B256" t="s">
        <v>47</v>
      </c>
      <c r="C256" t="s">
        <v>4899</v>
      </c>
      <c r="D256" t="s">
        <v>5358</v>
      </c>
    </row>
    <row r="257" spans="1:4">
      <c r="A257" t="s">
        <v>5359</v>
      </c>
      <c r="B257" t="s">
        <v>35</v>
      </c>
      <c r="C257" t="s">
        <v>5029</v>
      </c>
      <c r="D257" t="s">
        <v>5360</v>
      </c>
    </row>
    <row r="258" spans="1:4">
      <c r="A258" t="s">
        <v>5361</v>
      </c>
      <c r="B258" t="s">
        <v>75</v>
      </c>
      <c r="C258" t="s">
        <v>5032</v>
      </c>
      <c r="D258" t="s">
        <v>5362</v>
      </c>
    </row>
    <row r="259" spans="1:4">
      <c r="A259" t="s">
        <v>5363</v>
      </c>
      <c r="B259" t="s">
        <v>47</v>
      </c>
      <c r="C259" t="s">
        <v>5000</v>
      </c>
      <c r="D259" t="s">
        <v>5364</v>
      </c>
    </row>
    <row r="260" spans="1:4">
      <c r="A260" t="s">
        <v>5363</v>
      </c>
      <c r="B260" t="s">
        <v>47</v>
      </c>
      <c r="C260" t="s">
        <v>4998</v>
      </c>
      <c r="D260" t="s">
        <v>5365</v>
      </c>
    </row>
    <row r="261" spans="1:4">
      <c r="A261" t="s">
        <v>3717</v>
      </c>
      <c r="B261" t="s">
        <v>35</v>
      </c>
      <c r="C261" t="s">
        <v>4996</v>
      </c>
      <c r="D261" t="s">
        <v>5366</v>
      </c>
    </row>
    <row r="262" spans="1:4">
      <c r="A262" t="s">
        <v>3717</v>
      </c>
      <c r="B262" t="s">
        <v>35</v>
      </c>
      <c r="C262" t="s">
        <v>5029</v>
      </c>
      <c r="D262" t="s">
        <v>5367</v>
      </c>
    </row>
    <row r="263" spans="1:4">
      <c r="A263" t="s">
        <v>3717</v>
      </c>
      <c r="B263" t="s">
        <v>35</v>
      </c>
      <c r="C263" t="s">
        <v>4998</v>
      </c>
      <c r="D263" t="s">
        <v>5368</v>
      </c>
    </row>
    <row r="264" spans="1:4">
      <c r="A264" t="s">
        <v>3717</v>
      </c>
      <c r="B264" t="s">
        <v>35</v>
      </c>
      <c r="C264" t="s">
        <v>4296</v>
      </c>
      <c r="D264" t="s">
        <v>5369</v>
      </c>
    </row>
    <row r="265" spans="1:4">
      <c r="A265" t="s">
        <v>5370</v>
      </c>
      <c r="B265" t="s">
        <v>35</v>
      </c>
      <c r="C265" t="s">
        <v>5032</v>
      </c>
      <c r="D265" t="s">
        <v>5371</v>
      </c>
    </row>
    <row r="266" spans="1:4">
      <c r="A266" t="s">
        <v>5372</v>
      </c>
      <c r="B266" t="s">
        <v>136</v>
      </c>
      <c r="C266" t="s">
        <v>4996</v>
      </c>
      <c r="D266" t="s">
        <v>5373</v>
      </c>
    </row>
    <row r="267" spans="1:4">
      <c r="A267" t="s">
        <v>5374</v>
      </c>
      <c r="B267" t="s">
        <v>33</v>
      </c>
      <c r="C267" t="s">
        <v>5032</v>
      </c>
      <c r="D267" t="s">
        <v>5375</v>
      </c>
    </row>
    <row r="268" spans="1:4">
      <c r="A268" t="s">
        <v>5376</v>
      </c>
      <c r="B268" t="s">
        <v>65</v>
      </c>
      <c r="C268" t="s">
        <v>5032</v>
      </c>
      <c r="D268" t="s">
        <v>5377</v>
      </c>
    </row>
    <row r="269" spans="1:4">
      <c r="A269" t="s">
        <v>3986</v>
      </c>
      <c r="B269" t="s">
        <v>39</v>
      </c>
      <c r="C269" t="s">
        <v>5000</v>
      </c>
      <c r="D269" t="s">
        <v>5378</v>
      </c>
    </row>
    <row r="270" spans="1:4">
      <c r="A270" t="s">
        <v>3986</v>
      </c>
      <c r="B270" t="s">
        <v>39</v>
      </c>
      <c r="C270" t="s">
        <v>4996</v>
      </c>
      <c r="D270" t="s">
        <v>5379</v>
      </c>
    </row>
    <row r="271" spans="1:4">
      <c r="A271" t="s">
        <v>3986</v>
      </c>
      <c r="B271" t="s">
        <v>39</v>
      </c>
      <c r="C271" t="s">
        <v>5029</v>
      </c>
      <c r="D271" t="s">
        <v>5380</v>
      </c>
    </row>
    <row r="272" spans="1:4">
      <c r="A272" t="s">
        <v>3986</v>
      </c>
      <c r="B272" t="s">
        <v>39</v>
      </c>
      <c r="C272" t="s">
        <v>4998</v>
      </c>
      <c r="D272" t="s">
        <v>5381</v>
      </c>
    </row>
    <row r="273" spans="1:4">
      <c r="A273" t="s">
        <v>3986</v>
      </c>
      <c r="B273" t="s">
        <v>39</v>
      </c>
      <c r="C273" t="s">
        <v>5032</v>
      </c>
      <c r="D273" t="s">
        <v>5382</v>
      </c>
    </row>
    <row r="274" spans="1:4">
      <c r="A274" t="s">
        <v>3986</v>
      </c>
      <c r="B274" t="s">
        <v>39</v>
      </c>
      <c r="C274" t="s">
        <v>5019</v>
      </c>
      <c r="D274" t="s">
        <v>5383</v>
      </c>
    </row>
    <row r="275" spans="1:4">
      <c r="A275" t="s">
        <v>5384</v>
      </c>
      <c r="B275" t="s">
        <v>47</v>
      </c>
      <c r="C275" t="s">
        <v>5029</v>
      </c>
      <c r="D275" t="s">
        <v>5385</v>
      </c>
    </row>
    <row r="276" spans="1:4">
      <c r="A276" t="s">
        <v>5386</v>
      </c>
      <c r="B276" t="s">
        <v>39</v>
      </c>
      <c r="C276" t="s">
        <v>4998</v>
      </c>
      <c r="D276" t="s">
        <v>5387</v>
      </c>
    </row>
    <row r="277" spans="1:4">
      <c r="A277" t="s">
        <v>5388</v>
      </c>
      <c r="B277" t="s">
        <v>35</v>
      </c>
      <c r="C277" t="s">
        <v>4996</v>
      </c>
      <c r="D277" t="s">
        <v>5389</v>
      </c>
    </row>
    <row r="278" spans="1:4">
      <c r="A278" t="s">
        <v>3724</v>
      </c>
      <c r="B278" t="s">
        <v>157</v>
      </c>
      <c r="C278" t="s">
        <v>5390</v>
      </c>
      <c r="D278" t="s">
        <v>5391</v>
      </c>
    </row>
    <row r="279" spans="1:4">
      <c r="A279" t="s">
        <v>3724</v>
      </c>
      <c r="B279" t="s">
        <v>157</v>
      </c>
      <c r="C279" t="s">
        <v>5392</v>
      </c>
      <c r="D279" t="s">
        <v>5393</v>
      </c>
    </row>
    <row r="280" spans="1:4">
      <c r="A280" t="s">
        <v>4920</v>
      </c>
      <c r="B280" t="s">
        <v>136</v>
      </c>
      <c r="C280" t="s">
        <v>5009</v>
      </c>
      <c r="D280" t="s">
        <v>5394</v>
      </c>
    </row>
    <row r="281" spans="1:4">
      <c r="A281" t="s">
        <v>4174</v>
      </c>
      <c r="B281" t="s">
        <v>47</v>
      </c>
      <c r="C281" t="s">
        <v>4723</v>
      </c>
      <c r="D281" t="s">
        <v>5395</v>
      </c>
    </row>
    <row r="282" spans="1:4">
      <c r="A282" t="s">
        <v>4174</v>
      </c>
      <c r="B282" t="s">
        <v>47</v>
      </c>
      <c r="C282" t="s">
        <v>4458</v>
      </c>
      <c r="D282" t="s">
        <v>5396</v>
      </c>
    </row>
    <row r="283" spans="1:4">
      <c r="A283" t="s">
        <v>5397</v>
      </c>
      <c r="B283" t="s">
        <v>136</v>
      </c>
      <c r="C283" t="s">
        <v>4996</v>
      </c>
      <c r="D283" t="s">
        <v>5398</v>
      </c>
    </row>
    <row r="284" spans="1:4">
      <c r="A284" t="s">
        <v>3996</v>
      </c>
      <c r="B284" t="s">
        <v>39</v>
      </c>
      <c r="C284" t="s">
        <v>5000</v>
      </c>
      <c r="D284" t="s">
        <v>5399</v>
      </c>
    </row>
    <row r="285" spans="1:4">
      <c r="A285" t="s">
        <v>3996</v>
      </c>
      <c r="B285" t="s">
        <v>39</v>
      </c>
      <c r="C285" t="s">
        <v>5009</v>
      </c>
      <c r="D285" t="s">
        <v>5400</v>
      </c>
    </row>
    <row r="286" spans="1:4">
      <c r="A286" t="s">
        <v>3996</v>
      </c>
      <c r="B286" t="s">
        <v>39</v>
      </c>
      <c r="C286" t="s">
        <v>4996</v>
      </c>
      <c r="D286" t="s">
        <v>5401</v>
      </c>
    </row>
    <row r="287" spans="1:4">
      <c r="A287" t="s">
        <v>3996</v>
      </c>
      <c r="B287" t="s">
        <v>39</v>
      </c>
      <c r="C287" t="s">
        <v>5029</v>
      </c>
      <c r="D287" t="s">
        <v>5402</v>
      </c>
    </row>
    <row r="288" spans="1:4">
      <c r="A288" t="s">
        <v>3996</v>
      </c>
      <c r="B288" t="s">
        <v>39</v>
      </c>
      <c r="C288" t="s">
        <v>4998</v>
      </c>
      <c r="D288" t="s">
        <v>5403</v>
      </c>
    </row>
    <row r="289" spans="1:4">
      <c r="A289" t="s">
        <v>3996</v>
      </c>
      <c r="B289" t="s">
        <v>39</v>
      </c>
      <c r="C289" t="s">
        <v>5032</v>
      </c>
      <c r="D289" t="s">
        <v>5404</v>
      </c>
    </row>
    <row r="290" spans="1:4">
      <c r="A290" t="s">
        <v>3996</v>
      </c>
      <c r="B290" t="s">
        <v>39</v>
      </c>
      <c r="C290" t="s">
        <v>5405</v>
      </c>
      <c r="D290" t="s">
        <v>5406</v>
      </c>
    </row>
    <row r="291" spans="1:4">
      <c r="A291" t="s">
        <v>3996</v>
      </c>
      <c r="B291" t="s">
        <v>39</v>
      </c>
      <c r="C291" t="s">
        <v>5407</v>
      </c>
      <c r="D291" t="s">
        <v>5408</v>
      </c>
    </row>
    <row r="292" spans="1:4">
      <c r="A292" t="s">
        <v>5409</v>
      </c>
      <c r="B292" t="s">
        <v>33</v>
      </c>
      <c r="C292" t="s">
        <v>5000</v>
      </c>
      <c r="D292" t="s">
        <v>5410</v>
      </c>
    </row>
    <row r="293" spans="1:4">
      <c r="A293" t="s">
        <v>5409</v>
      </c>
      <c r="B293" t="s">
        <v>33</v>
      </c>
      <c r="C293" t="s">
        <v>5009</v>
      </c>
      <c r="D293" t="s">
        <v>5411</v>
      </c>
    </row>
    <row r="294" spans="1:4">
      <c r="A294" t="s">
        <v>5409</v>
      </c>
      <c r="B294" t="s">
        <v>33</v>
      </c>
      <c r="C294" t="s">
        <v>5029</v>
      </c>
      <c r="D294" t="s">
        <v>5412</v>
      </c>
    </row>
    <row r="295" spans="1:4">
      <c r="A295" t="s">
        <v>5409</v>
      </c>
      <c r="B295" t="s">
        <v>33</v>
      </c>
      <c r="C295" t="s">
        <v>5032</v>
      </c>
      <c r="D295" t="s">
        <v>5413</v>
      </c>
    </row>
    <row r="296" spans="1:4">
      <c r="A296" t="s">
        <v>3999</v>
      </c>
      <c r="B296" t="s">
        <v>44</v>
      </c>
      <c r="C296" t="s">
        <v>5000</v>
      </c>
      <c r="D296" t="s">
        <v>5414</v>
      </c>
    </row>
    <row r="297" spans="1:4">
      <c r="A297" t="s">
        <v>3999</v>
      </c>
      <c r="B297" t="s">
        <v>44</v>
      </c>
      <c r="C297" t="s">
        <v>5009</v>
      </c>
      <c r="D297" t="s">
        <v>5415</v>
      </c>
    </row>
    <row r="298" spans="1:4">
      <c r="A298" t="s">
        <v>3999</v>
      </c>
      <c r="B298" t="s">
        <v>44</v>
      </c>
      <c r="C298" t="s">
        <v>4996</v>
      </c>
      <c r="D298" t="s">
        <v>5416</v>
      </c>
    </row>
    <row r="299" spans="1:4">
      <c r="A299" t="s">
        <v>3999</v>
      </c>
      <c r="B299" t="s">
        <v>44</v>
      </c>
      <c r="C299" t="s">
        <v>5029</v>
      </c>
      <c r="D299" t="s">
        <v>5417</v>
      </c>
    </row>
    <row r="300" spans="1:4">
      <c r="A300" t="s">
        <v>3999</v>
      </c>
      <c r="B300" t="s">
        <v>44</v>
      </c>
      <c r="C300" t="s">
        <v>4998</v>
      </c>
      <c r="D300" t="s">
        <v>5418</v>
      </c>
    </row>
    <row r="301" spans="1:4">
      <c r="A301" t="s">
        <v>3999</v>
      </c>
      <c r="B301" t="s">
        <v>44</v>
      </c>
      <c r="C301" t="s">
        <v>5032</v>
      </c>
      <c r="D301" t="s">
        <v>5419</v>
      </c>
    </row>
    <row r="302" spans="1:4">
      <c r="A302" t="s">
        <v>5420</v>
      </c>
      <c r="B302" t="s">
        <v>35</v>
      </c>
      <c r="C302" t="s">
        <v>5000</v>
      </c>
      <c r="D302" t="s">
        <v>5421</v>
      </c>
    </row>
    <row r="303" spans="1:4">
      <c r="A303" t="s">
        <v>5420</v>
      </c>
      <c r="B303" t="s">
        <v>35</v>
      </c>
      <c r="C303" t="s">
        <v>4996</v>
      </c>
      <c r="D303" t="s">
        <v>5422</v>
      </c>
    </row>
    <row r="304" spans="1:4">
      <c r="A304" t="s">
        <v>5420</v>
      </c>
      <c r="B304" t="s">
        <v>35</v>
      </c>
      <c r="C304" t="s">
        <v>5029</v>
      </c>
      <c r="D304" t="s">
        <v>5423</v>
      </c>
    </row>
    <row r="305" spans="1:4">
      <c r="A305" t="s">
        <v>5420</v>
      </c>
      <c r="B305" t="s">
        <v>35</v>
      </c>
      <c r="C305" t="s">
        <v>5019</v>
      </c>
      <c r="D305" t="s">
        <v>5424</v>
      </c>
    </row>
    <row r="306" spans="1:4">
      <c r="A306" t="s">
        <v>5420</v>
      </c>
      <c r="B306" t="s">
        <v>35</v>
      </c>
      <c r="C306" t="s">
        <v>5425</v>
      </c>
      <c r="D306" t="s">
        <v>5426</v>
      </c>
    </row>
    <row r="307" spans="1:4">
      <c r="A307" t="s">
        <v>5420</v>
      </c>
      <c r="B307" t="s">
        <v>35</v>
      </c>
      <c r="C307" t="s">
        <v>5427</v>
      </c>
      <c r="D307" t="s">
        <v>5428</v>
      </c>
    </row>
    <row r="308" spans="1:4">
      <c r="A308" t="s">
        <v>5420</v>
      </c>
      <c r="B308" t="s">
        <v>35</v>
      </c>
      <c r="C308" t="s">
        <v>5429</v>
      </c>
      <c r="D308" t="s">
        <v>5430</v>
      </c>
    </row>
    <row r="309" spans="1:4">
      <c r="A309" t="s">
        <v>4011</v>
      </c>
      <c r="B309" t="s">
        <v>47</v>
      </c>
      <c r="C309" t="s">
        <v>5000</v>
      </c>
      <c r="D309" t="s">
        <v>5431</v>
      </c>
    </row>
    <row r="310" spans="1:4">
      <c r="A310" t="s">
        <v>4011</v>
      </c>
      <c r="B310" t="s">
        <v>47</v>
      </c>
      <c r="C310" t="s">
        <v>5009</v>
      </c>
      <c r="D310" t="s">
        <v>5432</v>
      </c>
    </row>
    <row r="311" spans="1:4">
      <c r="A311" t="s">
        <v>4011</v>
      </c>
      <c r="B311" t="s">
        <v>47</v>
      </c>
      <c r="C311" t="s">
        <v>5029</v>
      </c>
      <c r="D311" t="s">
        <v>5433</v>
      </c>
    </row>
    <row r="312" spans="1:4">
      <c r="A312" t="s">
        <v>4011</v>
      </c>
      <c r="B312" t="s">
        <v>47</v>
      </c>
      <c r="C312" t="s">
        <v>5032</v>
      </c>
      <c r="D312" t="s">
        <v>5434</v>
      </c>
    </row>
    <row r="313" spans="1:4">
      <c r="A313" t="s">
        <v>4011</v>
      </c>
      <c r="B313" t="s">
        <v>47</v>
      </c>
      <c r="C313" t="s">
        <v>5021</v>
      </c>
      <c r="D313" t="s">
        <v>5435</v>
      </c>
    </row>
    <row r="314" spans="1:4">
      <c r="A314" t="s">
        <v>4011</v>
      </c>
      <c r="B314" t="s">
        <v>47</v>
      </c>
      <c r="C314" t="s">
        <v>5429</v>
      </c>
      <c r="D314" t="s">
        <v>5436</v>
      </c>
    </row>
    <row r="315" spans="1:4">
      <c r="A315" t="s">
        <v>5437</v>
      </c>
      <c r="B315" t="s">
        <v>95</v>
      </c>
      <c r="C315" t="s">
        <v>5000</v>
      </c>
      <c r="D315" t="s">
        <v>5438</v>
      </c>
    </row>
    <row r="316" spans="1:4">
      <c r="A316" t="s">
        <v>5439</v>
      </c>
      <c r="B316" t="s">
        <v>41</v>
      </c>
      <c r="C316" t="s">
        <v>4998</v>
      </c>
      <c r="D316" t="s">
        <v>5440</v>
      </c>
    </row>
    <row r="317" spans="1:4">
      <c r="A317" t="s">
        <v>5441</v>
      </c>
      <c r="B317" t="s">
        <v>35</v>
      </c>
      <c r="C317" t="s">
        <v>5000</v>
      </c>
      <c r="D317" t="s">
        <v>5442</v>
      </c>
    </row>
    <row r="318" spans="1:4">
      <c r="A318" t="s">
        <v>5441</v>
      </c>
      <c r="B318" t="s">
        <v>35</v>
      </c>
      <c r="C318" t="s">
        <v>4996</v>
      </c>
      <c r="D318" t="s">
        <v>5443</v>
      </c>
    </row>
    <row r="319" spans="1:4">
      <c r="A319" t="s">
        <v>5444</v>
      </c>
      <c r="B319" t="s">
        <v>136</v>
      </c>
      <c r="C319" t="s">
        <v>5009</v>
      </c>
      <c r="D319" t="s">
        <v>5445</v>
      </c>
    </row>
    <row r="320" spans="1:4">
      <c r="A320" t="s">
        <v>4472</v>
      </c>
      <c r="B320" t="s">
        <v>41</v>
      </c>
      <c r="C320" t="s">
        <v>5000</v>
      </c>
      <c r="D320" t="s">
        <v>5446</v>
      </c>
    </row>
    <row r="321" spans="1:4">
      <c r="A321" t="s">
        <v>4194</v>
      </c>
      <c r="B321" t="s">
        <v>39</v>
      </c>
      <c r="C321" t="s">
        <v>5447</v>
      </c>
      <c r="D321" t="s">
        <v>5448</v>
      </c>
    </row>
    <row r="322" spans="1:4">
      <c r="A322" t="s">
        <v>5449</v>
      </c>
      <c r="B322" t="s">
        <v>33</v>
      </c>
      <c r="C322" t="s">
        <v>4996</v>
      </c>
      <c r="D322" t="s">
        <v>5450</v>
      </c>
    </row>
    <row r="323" spans="1:4">
      <c r="A323" t="s">
        <v>5449</v>
      </c>
      <c r="B323" t="s">
        <v>33</v>
      </c>
      <c r="C323" t="s">
        <v>4998</v>
      </c>
      <c r="D323" t="s">
        <v>5451</v>
      </c>
    </row>
    <row r="324" spans="1:4">
      <c r="A324" t="s">
        <v>3786</v>
      </c>
      <c r="B324" t="s">
        <v>33</v>
      </c>
      <c r="C324" t="s">
        <v>5000</v>
      </c>
      <c r="D324" t="s">
        <v>5452</v>
      </c>
    </row>
    <row r="325" spans="1:4">
      <c r="A325" t="s">
        <v>3786</v>
      </c>
      <c r="B325" t="s">
        <v>33</v>
      </c>
      <c r="C325" t="s">
        <v>4996</v>
      </c>
      <c r="D325" t="s">
        <v>5453</v>
      </c>
    </row>
    <row r="326" spans="1:4">
      <c r="A326" t="s">
        <v>5454</v>
      </c>
      <c r="B326" t="s">
        <v>39</v>
      </c>
      <c r="C326" t="s">
        <v>5009</v>
      </c>
      <c r="D326" t="s">
        <v>5455</v>
      </c>
    </row>
    <row r="327" spans="1:4">
      <c r="A327" t="s">
        <v>4686</v>
      </c>
      <c r="B327" t="s">
        <v>39</v>
      </c>
      <c r="C327" t="s">
        <v>5130</v>
      </c>
      <c r="D327" t="s">
        <v>5456</v>
      </c>
    </row>
    <row r="328" spans="1:4">
      <c r="A328" t="s">
        <v>5457</v>
      </c>
      <c r="B328" t="s">
        <v>35</v>
      </c>
      <c r="C328" t="s">
        <v>4998</v>
      </c>
      <c r="D328" t="s">
        <v>5458</v>
      </c>
    </row>
    <row r="329" spans="1:4">
      <c r="A329" t="s">
        <v>4043</v>
      </c>
      <c r="B329" t="s">
        <v>39</v>
      </c>
      <c r="C329" t="s">
        <v>5000</v>
      </c>
      <c r="D329" t="s">
        <v>5459</v>
      </c>
    </row>
    <row r="330" spans="1:4">
      <c r="A330" t="s">
        <v>4043</v>
      </c>
      <c r="B330" t="s">
        <v>39</v>
      </c>
      <c r="C330" t="s">
        <v>5009</v>
      </c>
      <c r="D330" t="s">
        <v>5460</v>
      </c>
    </row>
    <row r="331" spans="1:4">
      <c r="A331" t="s">
        <v>4043</v>
      </c>
      <c r="B331" t="s">
        <v>39</v>
      </c>
      <c r="C331" t="s">
        <v>4996</v>
      </c>
      <c r="D331" t="s">
        <v>5461</v>
      </c>
    </row>
    <row r="332" spans="1:4">
      <c r="A332" t="s">
        <v>4043</v>
      </c>
      <c r="B332" t="s">
        <v>39</v>
      </c>
      <c r="C332" t="s">
        <v>5029</v>
      </c>
      <c r="D332" t="s">
        <v>5462</v>
      </c>
    </row>
    <row r="333" spans="1:4">
      <c r="A333" t="s">
        <v>4043</v>
      </c>
      <c r="B333" t="s">
        <v>39</v>
      </c>
      <c r="C333" t="s">
        <v>4998</v>
      </c>
      <c r="D333" t="s">
        <v>5463</v>
      </c>
    </row>
    <row r="334" spans="1:4">
      <c r="A334" t="s">
        <v>5464</v>
      </c>
      <c r="B334" t="s">
        <v>39</v>
      </c>
      <c r="C334" t="s">
        <v>5032</v>
      </c>
      <c r="D334" t="s">
        <v>5465</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5CD736-482B-47C6-B202-75F8E10684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Jordy Eggermont</dc:creator>
  <cp:keywords/>
  <dc:description/>
  <cp:lastModifiedBy/>
  <cp:revision/>
  <dcterms:created xsi:type="dcterms:W3CDTF">2023-06-05T12:23:32Z</dcterms:created>
  <dcterms:modified xsi:type="dcterms:W3CDTF">2026-09-06T08:37:42Z</dcterms:modified>
  <cp:category/>
  <cp:contentStatus/>
</cp:coreProperties>
</file>